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Purchases" sheetId="2" state="visible" r:id="rId4"/>
    <sheet name="Sales" sheetId="3" state="visible" r:id="rId5"/>
    <sheet name="Settings" sheetId="4" state="visible" r:id="rId6"/>
    <sheet name="Guide" sheetId="5" state="visible" r:id="rId7"/>
  </sheets>
  <definedNames>
    <definedName function="false" hidden="true" localSheetId="1" name="_xlnm._FilterDatabase" vbProcedure="false">Purchases!$A$3:$N$3</definedName>
    <definedName function="false" hidden="true" localSheetId="2" name="_xlnm._FilterDatabase" vbProcedure="false">Sales!$A$3:$S$3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<sst xmlns="http://schemas.openxmlformats.org/spreadsheetml/2006/main" count="275" uniqueCount="236">
  <si>
    <t xml:space="preserve">KOLLEKT.GG FINANCIAL TRACKER</t>
  </si>
  <si>
    <t xml:space="preserve">Pokemon TCG — Version 26.0</t>
  </si>
  <si>
    <t xml:space="preserve">NET POSITION</t>
  </si>
  <si>
    <t xml:space="preserve">TOTAL INVESTED</t>
  </si>
  <si>
    <t xml:space="preserve">TOTAL REVENUE</t>
  </si>
  <si>
    <t xml:space="preserve">ROI %</t>
  </si>
  <si>
    <t xml:space="preserve">ITEMS IN STOCK</t>
  </si>
  <si>
    <t xml:space="preserve">  PROFIT &amp; LOSS</t>
  </si>
  <si>
    <t xml:space="preserve">  SPENDING BREAKDOWN</t>
  </si>
  <si>
    <t xml:space="preserve">Total Revenue (Gross Sales)</t>
  </si>
  <si>
    <t xml:space="preserve">Sealed Products</t>
  </si>
  <si>
    <t xml:space="preserve">Less: Platform Fees</t>
  </si>
  <si>
    <t xml:space="preserve">Single Card Purchases</t>
  </si>
  <si>
    <t xml:space="preserve">Less: Shipping Costs (Sales)</t>
  </si>
  <si>
    <t xml:space="preserve">Graded Card Purchases</t>
  </si>
  <si>
    <t xml:space="preserve">Net Sales Revenue</t>
  </si>
  <si>
    <t xml:space="preserve">Supplies (Sleeves, Toploaders, etc)</t>
  </si>
  <si>
    <t xml:space="preserve">Shipping Materials</t>
  </si>
  <si>
    <t xml:space="preserve">Cost of Goods Sold (COGS)</t>
  </si>
  <si>
    <t xml:space="preserve">Grading Fees</t>
  </si>
  <si>
    <t xml:space="preserve">GROSS PROFIT</t>
  </si>
  <si>
    <t xml:space="preserve">Other Expenses</t>
  </si>
  <si>
    <t xml:space="preserve">TOTAL SPENDING</t>
  </si>
  <si>
    <t xml:space="preserve">Supplies &amp; Materials</t>
  </si>
  <si>
    <t xml:space="preserve">Inventory Value (At Cost)</t>
  </si>
  <si>
    <t xml:space="preserve">Total Operating Expenses</t>
  </si>
  <si>
    <t xml:space="preserve">Items Sold</t>
  </si>
  <si>
    <t xml:space="preserve">Items In Stock</t>
  </si>
  <si>
    <t xml:space="preserve">NET PROFIT / (LOSS)</t>
  </si>
  <si>
    <t xml:space="preserve">Avg Profit Per Sale</t>
  </si>
  <si>
    <t xml:space="preserve">  SALES BY PLATFORM</t>
  </si>
  <si>
    <t xml:space="preserve">  MONTHLY TREND (Last 6 Months)</t>
  </si>
  <si>
    <t xml:space="preserve">eBay AU</t>
  </si>
  <si>
    <t xml:space="preserve">Month</t>
  </si>
  <si>
    <t xml:space="preserve">Purchases</t>
  </si>
  <si>
    <t xml:space="preserve">Sales</t>
  </si>
  <si>
    <t xml:space="preserve">Fees</t>
  </si>
  <si>
    <t xml:space="preserve">Net P/L</t>
  </si>
  <si>
    <t xml:space="preserve">Cum. P/L</t>
  </si>
  <si>
    <t xml:space="preserve">eBay US</t>
  </si>
  <si>
    <t xml:space="preserve">Whatnot</t>
  </si>
  <si>
    <t xml:space="preserve">Facebook Marketplace</t>
  </si>
  <si>
    <t xml:space="preserve">TCGPlayer</t>
  </si>
  <si>
    <t xml:space="preserve">Gumtree</t>
  </si>
  <si>
    <t xml:space="preserve">Mercari</t>
  </si>
  <si>
    <t xml:space="preserve">CardMarket</t>
  </si>
  <si>
    <t xml:space="preserve">Direct/Local</t>
  </si>
  <si>
    <t xml:space="preserve">Other</t>
  </si>
  <si>
    <t xml:space="preserve">kollekt.gg — The Everyday Australian Collector | Data refreshes automatically from Purchases &amp; Sales tabs</t>
  </si>
  <si>
    <t xml:space="preserve">PURCHASES — Money Out</t>
  </si>
  <si>
    <t xml:space="preserve">TOTAL SPENT:</t>
  </si>
  <si>
    <t xml:space="preserve">ID</t>
  </si>
  <si>
    <t xml:space="preserve">Date</t>
  </si>
  <si>
    <t xml:space="preserve">Category</t>
  </si>
  <si>
    <t xml:space="preserve">Description</t>
  </si>
  <si>
    <t xml:space="preserve">Set / Series</t>
  </si>
  <si>
    <t xml:space="preserve">Qty</t>
  </si>
  <si>
    <t xml:space="preserve">Unit Cost</t>
  </si>
  <si>
    <t xml:space="preserve">Status</t>
  </si>
  <si>
    <t xml:space="preserve">Total Cost</t>
  </si>
  <si>
    <t xml:space="preserve">Source</t>
  </si>
  <si>
    <t xml:space="preserve">Parent ID</t>
  </si>
  <si>
    <t xml:space="preserve">Notes</t>
  </si>
  <si>
    <t xml:space="preserve">Market Price</t>
  </si>
  <si>
    <t xml:space="preserve">Market Value</t>
  </si>
  <si>
    <t xml:space="preserve">Sealed Product</t>
  </si>
  <si>
    <t xml:space="preserve">Ascended Heroes ETB</t>
  </si>
  <si>
    <t xml:space="preserve">Ascended Heroes</t>
  </si>
  <si>
    <t xml:space="preserve">In Stock</t>
  </si>
  <si>
    <t xml:space="preserve">EB Games</t>
  </si>
  <si>
    <t xml:space="preserve">First ETB for content</t>
  </si>
  <si>
    <t xml:space="preserve">Ascended Heroes Mini Tin x2</t>
  </si>
  <si>
    <t xml:space="preserve">Opened</t>
  </si>
  <si>
    <t xml:space="preserve">Good Games</t>
  </si>
  <si>
    <t xml:space="preserve">Opened on camera</t>
  </si>
  <si>
    <t xml:space="preserve">Single Card</t>
  </si>
  <si>
    <t xml:space="preserve">Erika Full Art SAR</t>
  </si>
  <si>
    <t xml:space="preserve">Listed</t>
  </si>
  <si>
    <t xml:space="preserve">Pulled from Mini Tin</t>
  </si>
  <si>
    <t xml:space="preserve">2</t>
  </si>
  <si>
    <t xml:space="preserve">Parent: Mini Tin purchase</t>
  </si>
  <si>
    <t xml:space="preserve">Charizard ex</t>
  </si>
  <si>
    <t xml:space="preserve">Supplies</t>
  </si>
  <si>
    <t xml:space="preserve">Ultra Pro Penny Sleeves (100)</t>
  </si>
  <si>
    <t xml:space="preserve">Used</t>
  </si>
  <si>
    <t xml:space="preserve">Amazon AU</t>
  </si>
  <si>
    <t xml:space="preserve">Ultra Pro Toploaders (25)</t>
  </si>
  <si>
    <t xml:space="preserve">PSA Grading - Erika SAR</t>
  </si>
  <si>
    <t xml:space="preserve">PSA</t>
  </si>
  <si>
    <t xml:space="preserve">3</t>
  </si>
  <si>
    <t xml:space="preserve">Submitted for grading</t>
  </si>
  <si>
    <t xml:space="preserve">SALES — Money In</t>
  </si>
  <si>
    <t xml:space="preserve">NET REVENUE:</t>
  </si>
  <si>
    <t xml:space="preserve">Date Sold</t>
  </si>
  <si>
    <t xml:space="preserve">Sale Price</t>
  </si>
  <si>
    <t xml:space="preserve">Platform</t>
  </si>
  <si>
    <t xml:space="preserve">Platform Fee $</t>
  </si>
  <si>
    <t xml:space="preserve">Shipping Cost</t>
  </si>
  <si>
    <t xml:space="preserve">Net Revenue</t>
  </si>
  <si>
    <t xml:space="preserve">COGS</t>
  </si>
  <si>
    <t xml:space="preserve">Profit / Loss</t>
  </si>
  <si>
    <t xml:space="preserve">Margin %</t>
  </si>
  <si>
    <t xml:space="preserve">Purchase Ref ID</t>
  </si>
  <si>
    <t xml:space="preserve">Buyer</t>
  </si>
  <si>
    <t xml:space="preserve">Tracking #</t>
  </si>
  <si>
    <t xml:space="preserve">Fee % Used</t>
  </si>
  <si>
    <t xml:space="preserve">Graded Card</t>
  </si>
  <si>
    <t xml:space="preserve">Erika Full Art SAR PSA 10</t>
  </si>
  <si>
    <t xml:space="preserve">PokeFan123</t>
  </si>
  <si>
    <t xml:space="preserve">AU1234567890</t>
  </si>
  <si>
    <t xml:space="preserve">First big sale!</t>
  </si>
  <si>
    <t xml:space="preserve">SETTINGS &amp; CONFIGURATION</t>
  </si>
  <si>
    <t xml:space="preserve">v26.0 — Configure your tracker below</t>
  </si>
  <si>
    <t xml:space="preserve">  GENERAL</t>
  </si>
  <si>
    <t xml:space="preserve">  QUICK REFERENCE</t>
  </si>
  <si>
    <t xml:space="preserve">Your Name / Shop Name</t>
  </si>
  <si>
    <t xml:space="preserve">Pack Opening Workflow:</t>
  </si>
  <si>
    <t xml:space="preserve">Currency</t>
  </si>
  <si>
    <t xml:space="preserve">AUD</t>
  </si>
  <si>
    <t xml:space="preserve">1. Log sealed product in Purchases</t>
  </si>
  <si>
    <t xml:space="preserve">Country</t>
  </si>
  <si>
    <t xml:space="preserve">Australia</t>
  </si>
  <si>
    <t xml:space="preserve">2. Set Status = "Opened" when opened</t>
  </si>
  <si>
    <t xml:space="preserve">Tracker Version</t>
  </si>
  <si>
    <t xml:space="preserve">v26.0</t>
  </si>
  <si>
    <t xml:space="preserve">3. Add pulled cards as new Purchase rows</t>
  </si>
  <si>
    <t xml:space="preserve">4. Set Category = "Single Card"</t>
  </si>
  <si>
    <t xml:space="preserve">5. Enter Parent ID = original purchase ID</t>
  </si>
  <si>
    <t xml:space="preserve">  SELLING PLATFORMS &amp; FEES</t>
  </si>
  <si>
    <t xml:space="preserve">6. Cost basis = Pack cost ÷ cards pulled</t>
  </si>
  <si>
    <t xml:space="preserve">Fee %</t>
  </si>
  <si>
    <t xml:space="preserve">TCG cards final value fee</t>
  </si>
  <si>
    <t xml:space="preserve">Raw → Slab Workflow:</t>
  </si>
  <si>
    <t xml:space="preserve">1. Card exists in Purchases (Single Card)</t>
  </si>
  <si>
    <t xml:space="preserve">8% commission + 2.9% processing</t>
  </si>
  <si>
    <t xml:space="preserve">2. Add grading fee as "Grading Fees" row</t>
  </si>
  <si>
    <t xml:space="preserve">Free for local pickup</t>
  </si>
  <si>
    <t xml:space="preserve">3. Set original card Status = "Graded"</t>
  </si>
  <si>
    <t xml:space="preserve">Standard seller level</t>
  </si>
  <si>
    <t xml:space="preserve">4. Sell in Sales as "Graded Card"</t>
  </si>
  <si>
    <t xml:space="preserve">Free listings</t>
  </si>
  <si>
    <t xml:space="preserve">5. COGS = card cost + grading fee</t>
  </si>
  <si>
    <t xml:space="preserve">10% flat fee</t>
  </si>
  <si>
    <t xml:space="preserve">EU market, varies by level</t>
  </si>
  <si>
    <t xml:space="preserve">Selling Workflow:</t>
  </si>
  <si>
    <t xml:space="preserve">No fees for direct sales</t>
  </si>
  <si>
    <t xml:space="preserve">1. Enter sale in Sales tab</t>
  </si>
  <si>
    <t xml:space="preserve">Shopify</t>
  </si>
  <si>
    <t xml:space="preserve">2.9% + payment processing</t>
  </si>
  <si>
    <t xml:space="preserve">2. Select Platform (fee auto-calculated)</t>
  </si>
  <si>
    <t xml:space="preserve">Payhip</t>
  </si>
  <si>
    <t xml:space="preserve">5% on free plan</t>
  </si>
  <si>
    <t xml:space="preserve">3. Enter Purchase Ref ID to link COGS</t>
  </si>
  <si>
    <t xml:space="preserve">Enter custom fee</t>
  </si>
  <si>
    <t xml:space="preserve">4. Profit auto-calculates</t>
  </si>
  <si>
    <t xml:space="preserve">5. Update Purchase status to "Sold"</t>
  </si>
  <si>
    <t xml:space="preserve">  MARKET PRICE APIs</t>
  </si>
  <si>
    <t xml:space="preserve">API Provider</t>
  </si>
  <si>
    <t xml:space="preserve">API Key</t>
  </si>
  <si>
    <t xml:space="preserve">Status / Notes</t>
  </si>
  <si>
    <t xml:space="preserve">PokemonTCG.io</t>
  </si>
  <si>
    <t xml:space="preserve">Free tier: 20K req/day. Get key: pokemontcg.io</t>
  </si>
  <si>
    <t xml:space="preserve">TCGdex</t>
  </si>
  <si>
    <t xml:space="preserve">FREE - No key needed. Cardmarket + TCGPlayer</t>
  </si>
  <si>
    <t xml:space="preserve">PokemonPriceTracker</t>
  </si>
  <si>
    <t xml:space="preserve">Free tier: limited. Best pricing + PSA data</t>
  </si>
  <si>
    <t xml:space="preserve">PriceCharting</t>
  </si>
  <si>
    <t xml:space="preserve">Historical pricing. Sealed products. Optional</t>
  </si>
  <si>
    <t xml:space="preserve">Custom API</t>
  </si>
  <si>
    <t xml:space="preserve">Add your own API endpoint</t>
  </si>
  <si>
    <t xml:space="preserve">Active Price Source</t>
  </si>
  <si>
    <t xml:space="preserve">  VERSION &amp; DATA MIGRATION</t>
  </si>
  <si>
    <t xml:space="preserve">Current Version</t>
  </si>
  <si>
    <t xml:space="preserve">Last Migration Date</t>
  </si>
  <si>
    <t xml:space="preserve">N/A - First Install</t>
  </si>
  <si>
    <t xml:space="preserve">Data Export Format</t>
  </si>
  <si>
    <t xml:space="preserve">JSON</t>
  </si>
  <si>
    <t xml:space="preserve">⚡ MIGRATION: Use Apps Script menu → Kollekt → Export Data to save as JSON.</t>
  </si>
  <si>
    <t xml:space="preserve">⚡ IMPORT: In the new version, use Kollekt → Import Data to restore.</t>
  </si>
  <si>
    <t xml:space="preserve">⚡ RESET: Use Kollekt → Reset Tracker to clear all data and restart.</t>
  </si>
  <si>
    <t xml:space="preserve">KOLLEKT.GG TRACKER — GETTING STARTED GUIDE</t>
  </si>
  <si>
    <t xml:space="preserve">WELCOME TO YOUR FINANCIAL TRACKER</t>
  </si>
  <si>
    <t xml:space="preserve">This spreadsheet tracks every dollar in and out of your Pokemon TCG hobby/business.</t>
  </si>
  <si>
    <t xml:space="preserve">It is NOT a collection tracker — it is a FINANCIAL tracker for serious collector-resellers.</t>
  </si>
  <si>
    <t xml:space="preserve">STEP 1: CONFIGURE SETTINGS</t>
  </si>
  <si>
    <t xml:space="preserve">→ Go to the Settings tab</t>
  </si>
  <si>
    <t xml:space="preserve">→ Enter your name/shop name</t>
  </si>
  <si>
    <t xml:space="preserve">→ Select your currency (AUD default)</t>
  </si>
  <si>
    <t xml:space="preserve">→ Review and adjust platform fee percentages</t>
  </si>
  <si>
    <t xml:space="preserve">→ Add API keys if you want market price lookups (optional)</t>
  </si>
  <si>
    <t xml:space="preserve">STEP 2: INSTALL APPS SCRIPT (Google Sheets only)</t>
  </si>
  <si>
    <t xml:space="preserve">→ Open Extensions → Apps Script</t>
  </si>
  <si>
    <t xml:space="preserve">→ Paste the provided Kollekt.gs script</t>
  </si>
  <si>
    <t xml:space="preserve">→ Save and authorize the script</t>
  </si>
  <si>
    <t xml:space="preserve">→ This enables: API price lookups, data export/import, reset functionality</t>
  </si>
  <si>
    <t xml:space="preserve">→ A custom "Kollekt" menu will appear in the menu bar</t>
  </si>
  <si>
    <t xml:space="preserve">STEP 3: LOG YOUR FIRST PURCHASE</t>
  </si>
  <si>
    <t xml:space="preserve">→ Go to the Purchases tab</t>
  </si>
  <si>
    <t xml:space="preserve">→ Enter: Date, Category (dropdown), Description, Set, Qty, Unit Cost</t>
  </si>
  <si>
    <t xml:space="preserve">→ Total Cost calculates automatically</t>
  </si>
  <si>
    <t xml:space="preserve">→ Set Status to "In Stock"</t>
  </si>
  <si>
    <t xml:space="preserve">STEP 4: LOG YOUR FIRST SALE</t>
  </si>
  <si>
    <t xml:space="preserve">→ Go to the Sales tab</t>
  </si>
  <si>
    <t xml:space="preserve">→ Enter: Date, Category, Description, Set, Qty, Sale Price</t>
  </si>
  <si>
    <t xml:space="preserve">→ Select Platform (fee auto-calculates from Settings)</t>
  </si>
  <si>
    <t xml:space="preserve">→ Enter the Purchase Ref ID to link COGS (cost of goods)</t>
  </si>
  <si>
    <t xml:space="preserve">→ Profit, margin, and net revenue all calculate automatically</t>
  </si>
  <si>
    <t xml:space="preserve">OPENING PACKS (Important!)</t>
  </si>
  <si>
    <t xml:space="preserve">When you buy a booster pack/ETB/box and open it:</t>
  </si>
  <si>
    <t xml:space="preserve">1. The sealed product was already logged in Purchases</t>
  </si>
  <si>
    <t xml:space="preserve">2. Change its Status to "Opened"</t>
  </si>
  <si>
    <t xml:space="preserve">3. For each valuable card pulled, add a NEW row in Purchases:</t>
  </si>
  <si>
    <t xml:space="preserve">   - Category = "Single Card"</t>
  </si>
  <si>
    <t xml:space="preserve">   - Unit Cost = original pack cost ÷ number of valuable pulls</t>
  </si>
  <si>
    <t xml:space="preserve">   - Parent ID = the ID number of the original sealed product</t>
  </si>
  <si>
    <t xml:space="preserve">4. This gives you accurate cost basis for each card</t>
  </si>
  <si>
    <t xml:space="preserve">GRADING CARDS (Raw → Slab)</t>
  </si>
  <si>
    <t xml:space="preserve">1. Your card is in Purchases as "Single Card"</t>
  </si>
  <si>
    <t xml:space="preserve">2. Add a new row: Category = "Grading Fees", with the grading cost</t>
  </si>
  <si>
    <t xml:space="preserve">3. Change the original card Status to "Graded"</t>
  </si>
  <si>
    <t xml:space="preserve">4. When selling, the COGS should include card cost + grading fee</t>
  </si>
  <si>
    <t xml:space="preserve">DATA MIGRATION (Version Upgrades)</t>
  </si>
  <si>
    <t xml:space="preserve">When a new version is released:</t>
  </si>
  <si>
    <t xml:space="preserve">1. In OLD spreadsheet: Kollekt menu → Export Data → saves JSON to Drive</t>
  </si>
  <si>
    <t xml:space="preserve">2. Open the NEW version spreadsheet</t>
  </si>
  <si>
    <t xml:space="preserve">3. In NEW spreadsheet: Kollekt menu → Import Data → select JSON file</t>
  </si>
  <si>
    <t xml:space="preserve">4. All your Purchases, Sales, and Settings transfer automatically</t>
  </si>
  <si>
    <t xml:space="preserve">TIPS</t>
  </si>
  <si>
    <t xml:space="preserve">• Dashboard updates automatically — no manual refresh needed</t>
  </si>
  <si>
    <t xml:space="preserve">• Use filters on Purchases/Sales tabs to find specific entries</t>
  </si>
  <si>
    <t xml:space="preserve">• The "Parent ID" system lets you trace any card back to its source</t>
  </si>
  <si>
    <t xml:space="preserve">• Platform fees are editable in Settings if rates change</t>
  </si>
  <si>
    <t xml:space="preserve">• Market prices require API keys and Apps Script (optional feature)</t>
  </si>
  <si>
    <t xml:space="preserve">SUPPORT &amp; UPDATES</t>
  </si>
  <si>
    <t xml:space="preserve">Follow @kollekt.gg on TikTok &amp; Instagram for updates</t>
  </si>
  <si>
    <t xml:space="preserve">Report issues: kollekt.gg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</si>
</sst>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"/>
    <numFmt numFmtId="167" formatCode="#,##0"/>
    <numFmt numFmtId="168" formatCode="0000"/>
    <numFmt numFmtId="169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D2D2D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2D2D2D"/>
      <name val="Arial"/>
      <family val="0"/>
      <charset val="1"/>
    </font>
    <font>
      <b val="true"/>
      <sz val="14"/>
      <color rgb="FFE74C3C"/>
      <name val="Arial"/>
      <family val="0"/>
      <charset val="1"/>
    </font>
    <font>
      <b val="true"/>
      <sz val="14"/>
      <color rgb="FF27AE6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9"/>
      <color rgb="FF2D2D2D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sz val="10"/>
      <color rgb="FF2980B9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sz val="10"/>
      <color rgb="FFF5A623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2D2D2D"/>
        <bgColor rgb="FF1A1A1A"/>
      </patternFill>
    </fill>
    <fill>
      <patternFill patternType="solid">
        <fgColor rgb="FFF5F5F5"/>
        <bgColor rgb="FFFAFAFA"/>
      </patternFill>
    </fill>
    <fill>
      <patternFill patternType="solid">
        <fgColor rgb="FFFFF8E7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BF5FB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medium">
        <color rgb="FFF5A623"/>
      </top>
      <bottom/>
      <diagonal/>
    </border>
    <border diagonalUp="false" diagonalDown="false">
      <left/>
      <right/>
      <top style="thin">
        <color rgb="FFE0E0E0"/>
      </top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thin">
        <color rgb="FF2D2D2D"/>
      </left>
      <right style="thin">
        <color rgb="FF2D2D2D"/>
      </right>
      <top style="thin">
        <color rgb="FF2D2D2D"/>
      </top>
      <bottom style="medium">
        <color rgb="FFF5A62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D2D2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ont>
        <b val="1"/>
        <color rgb="FF27AE60"/>
      </font>
      <fill>
        <patternFill>
          <bgColor rgb="FFE8F5E9"/>
        </patternFill>
      </fill>
    </dxf>
    <dxf>
      <font>
        <b val="1"/>
        <color rgb="FFE74C3C"/>
      </font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C0C0C0"/>
      <rgbColor rgb="FF808080"/>
      <rgbColor rgb="FF9999FF"/>
      <rgbColor rgb="FF993366"/>
      <rgbColor rgb="FFFFF8E7"/>
      <rgbColor rgb="FFE8F5E9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FEBEE"/>
      <rgbColor rgb="FF99CCFF"/>
      <rgbColor rgb="FFFF99CC"/>
      <rgbColor rgb="FFCC99FF"/>
      <rgbColor rgb="FFFAFAFA"/>
      <rgbColor rgb="FF3498DB"/>
      <rgbColor rgb="FF33CCCC"/>
      <rgbColor rgb="FF99CC00"/>
      <rgbColor rgb="FFFFCC00"/>
      <rgbColor rgb="FFF5A623"/>
      <rgbColor rgb="FFE74C3C"/>
      <rgbColor rgb="FF666666"/>
      <rgbColor rgb="FF969696"/>
      <rgbColor rgb="FF003366"/>
      <rgbColor rgb="FF27AE60"/>
      <rgbColor rgb="FF003300"/>
      <rgbColor rgb="FF1A1A1A"/>
      <rgbColor rgb="FF993300"/>
      <rgbColor rgb="FF993366"/>
      <rgbColor rgb="FF555555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L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22"/>
    <col collapsed="false" customWidth="true" hidden="false" outlineLevel="0" max="8" min="7" style="0" width="18"/>
    <col collapsed="false" customWidth="true" hidden="false" outlineLevel="0" max="9" min="9" style="0" width="3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2.0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1"/>
    </row>
    <row r="3" customFormat="false" ht="15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15" hidden="false" customHeight="true" outlineLevel="0" collapsed="false">
      <c r="A5" s="1"/>
      <c r="B5" s="4" t="s">
        <v>2</v>
      </c>
      <c r="C5" s="4"/>
      <c r="D5" s="4" t="s">
        <v>3</v>
      </c>
      <c r="E5" s="4"/>
      <c r="F5" s="4" t="s">
        <v>4</v>
      </c>
      <c r="G5" s="4"/>
      <c r="H5" s="4" t="s">
        <v>5</v>
      </c>
      <c r="I5" s="4"/>
      <c r="J5" s="4" t="s">
        <v>6</v>
      </c>
      <c r="K5" s="4"/>
      <c r="L5" s="1"/>
    </row>
    <row r="6" customFormat="false" ht="17.35" hidden="false" customHeight="false" outlineLevel="0" collapsed="false">
      <c r="A6" s="1"/>
      <c r="B6" s="5" t="n">
        <f aca="false">Sales!S2-Purchases!J2</f>
        <v>39.6375</v>
      </c>
      <c r="C6" s="5"/>
      <c r="D6" s="6" t="n">
        <f aca="false">Purchases!J2</f>
        <v>192.6</v>
      </c>
      <c r="E6" s="6"/>
      <c r="F6" s="7" t="n">
        <f aca="false">Sales!S2</f>
        <v>232.2375</v>
      </c>
      <c r="G6" s="7"/>
      <c r="H6" s="8" t="n">
        <f aca="false">IFERROR((Sales!S2-Purchases!J2)/Purchases!J2,0)</f>
        <v>0.205802180685358</v>
      </c>
      <c r="I6" s="8"/>
      <c r="J6" s="9" t="n">
        <f aca="false">COUNTIF(Purchases!H:H,"In Stock")+COUNTIF(Purchases!H:H,"Listed")</f>
        <v>3</v>
      </c>
      <c r="K6" s="9"/>
      <c r="L6" s="1"/>
    </row>
    <row r="7" customFormat="false" ht="15" hidden="false" customHeight="false" outlineLevel="0" collapsed="false">
      <c r="A7" s="1"/>
      <c r="B7" s="10"/>
      <c r="C7" s="10"/>
      <c r="D7" s="10"/>
      <c r="E7" s="10"/>
      <c r="F7" s="10"/>
      <c r="G7" s="10"/>
      <c r="H7" s="10"/>
      <c r="I7" s="10"/>
      <c r="J7" s="10"/>
      <c r="K7" s="10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true" outlineLevel="0" collapsed="false">
      <c r="A9" s="1"/>
      <c r="B9" s="11" t="s">
        <v>7</v>
      </c>
      <c r="C9" s="11"/>
      <c r="D9" s="11"/>
      <c r="E9" s="11"/>
      <c r="F9" s="11" t="s">
        <v>8</v>
      </c>
      <c r="G9" s="11"/>
      <c r="H9" s="11"/>
      <c r="I9" s="11"/>
      <c r="J9" s="1"/>
      <c r="K9" s="1"/>
      <c r="L9" s="1"/>
    </row>
    <row r="10" customFormat="false" ht="23.85" hidden="false" customHeight="false" outlineLevel="0" collapsed="false">
      <c r="A10" s="1"/>
      <c r="B10" s="12" t="s">
        <v>9</v>
      </c>
      <c r="C10" s="13" t="n">
        <f aca="false">IFERROR(SUMPRODUCT((LEN(Sales!E4:E1000)&gt;0)*(Sales!G4:G1000*1)),0)</f>
        <v>285</v>
      </c>
      <c r="D10" s="1"/>
      <c r="E10" s="1"/>
      <c r="F10" s="12" t="s">
        <v>10</v>
      </c>
      <c r="G10" s="13" t="n">
        <f aca="false">SUMIFS(Purchases!I4:I1000,Purchases!C4:C1000,"Sealed Product")</f>
        <v>115.85</v>
      </c>
      <c r="H10" s="1"/>
      <c r="I10" s="1"/>
      <c r="J10" s="1"/>
      <c r="K10" s="1"/>
      <c r="L10" s="1"/>
    </row>
    <row r="11" customFormat="false" ht="15" hidden="false" customHeight="false" outlineLevel="0" collapsed="false">
      <c r="A11" s="1"/>
      <c r="B11" s="12" t="s">
        <v>11</v>
      </c>
      <c r="C11" s="13" t="n">
        <f aca="false">-IFERROR(SUMPRODUCT((LEN(Sales!E4:E1000)&gt;0)*(Sales!I4:I1000*1)),0)</f>
        <v>-37.7625</v>
      </c>
      <c r="D11" s="1"/>
      <c r="E11" s="1"/>
      <c r="F11" s="12" t="s">
        <v>12</v>
      </c>
      <c r="G11" s="13" t="n">
        <f aca="false">SUMIFS(Purchases!I4:I1000,Purchases!C4:C1000,"Single Card")</f>
        <v>17.3</v>
      </c>
      <c r="H11" s="1"/>
      <c r="I11" s="1"/>
      <c r="J11" s="1"/>
      <c r="K11" s="1"/>
      <c r="L11" s="1"/>
    </row>
    <row r="12" customFormat="false" ht="23.85" hidden="false" customHeight="false" outlineLevel="0" collapsed="false">
      <c r="A12" s="1"/>
      <c r="B12" s="12" t="s">
        <v>13</v>
      </c>
      <c r="C12" s="13" t="n">
        <f aca="false">-IFERROR(SUMPRODUCT((LEN(Sales!E4:E1000)&gt;0)*(Sales!J4:J1000*1)),0)</f>
        <v>-15</v>
      </c>
      <c r="D12" s="1"/>
      <c r="E12" s="1"/>
      <c r="F12" s="12" t="s">
        <v>14</v>
      </c>
      <c r="G12" s="13" t="n">
        <f aca="false">SUMIFS(Purchases!I4:I1000,Purchases!C4:C1000,"Graded Card")</f>
        <v>0</v>
      </c>
      <c r="H12" s="1"/>
      <c r="I12" s="1"/>
      <c r="J12" s="1"/>
      <c r="K12" s="1"/>
      <c r="L12" s="1"/>
    </row>
    <row r="13" customFormat="false" ht="23.85" hidden="false" customHeight="false" outlineLevel="0" collapsed="false">
      <c r="A13" s="1"/>
      <c r="B13" s="14" t="s">
        <v>15</v>
      </c>
      <c r="C13" s="15" t="n">
        <f aca="false">C10+C11+C12</f>
        <v>232.2375</v>
      </c>
      <c r="D13" s="16"/>
      <c r="E13" s="16"/>
      <c r="F13" s="12" t="s">
        <v>16</v>
      </c>
      <c r="G13" s="13" t="n">
        <f aca="false">SUMIFS(Purchases!I4:I1000,Purchases!C4:C1000,"Supplies")</f>
        <v>14.45</v>
      </c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2"/>
      <c r="C14" s="1"/>
      <c r="D14" s="1"/>
      <c r="E14" s="1"/>
      <c r="F14" s="12" t="s">
        <v>17</v>
      </c>
      <c r="G14" s="13" t="n">
        <f aca="false">SUMIFS(Purchases!I4:I1000,Purchases!C4:C1000,"Shipping Materials")</f>
        <v>0</v>
      </c>
      <c r="H14" s="1"/>
      <c r="I14" s="1"/>
      <c r="J14" s="1"/>
      <c r="K14" s="1"/>
      <c r="L14" s="1"/>
    </row>
    <row r="15" customFormat="false" ht="23.85" hidden="false" customHeight="false" outlineLevel="0" collapsed="false">
      <c r="A15" s="1"/>
      <c r="B15" s="12" t="s">
        <v>18</v>
      </c>
      <c r="C15" s="13" t="n">
        <f aca="false">-IFERROR(SUMPRODUCT((LEN(Sales!E4:E1000)&gt;0)*(Sales!L4:L1000*1)),0)</f>
        <v>-8.65</v>
      </c>
      <c r="D15" s="1"/>
      <c r="E15" s="1"/>
      <c r="F15" s="12" t="s">
        <v>19</v>
      </c>
      <c r="G15" s="13" t="n">
        <f aca="false">SUMIFS(Purchases!I4:I1000,Purchases!C4:C1000,"Grading Fees")</f>
        <v>45</v>
      </c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4" t="s">
        <v>20</v>
      </c>
      <c r="C16" s="15" t="n">
        <f aca="false">C13+C15</f>
        <v>223.5875</v>
      </c>
      <c r="D16" s="16"/>
      <c r="E16" s="16"/>
      <c r="F16" s="12" t="s">
        <v>21</v>
      </c>
      <c r="G16" s="13" t="n">
        <f aca="false">SUMIFS(Purchases!I4:I1000,Purchases!C4:C1000,"Other Expense")</f>
        <v>0</v>
      </c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2"/>
      <c r="C17" s="1"/>
      <c r="D17" s="1"/>
      <c r="E17" s="1"/>
      <c r="F17" s="12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12" t="s">
        <v>19</v>
      </c>
      <c r="C18" s="13" t="n">
        <f aca="false">-SUMIFS(Purchases!I4:I1000,Purchases!C4:C1000,"Grading Fees")</f>
        <v>-45</v>
      </c>
      <c r="D18" s="1"/>
      <c r="E18" s="1"/>
      <c r="F18" s="17" t="s">
        <v>22</v>
      </c>
      <c r="G18" s="18" t="n">
        <f aca="false">SUM(G10:G16)</f>
        <v>192.6</v>
      </c>
      <c r="H18" s="19"/>
      <c r="I18" s="19"/>
      <c r="J18" s="1"/>
      <c r="K18" s="1"/>
      <c r="L18" s="1"/>
    </row>
    <row r="19" customFormat="false" ht="15" hidden="false" customHeight="false" outlineLevel="0" collapsed="false">
      <c r="A19" s="1"/>
      <c r="B19" s="12" t="s">
        <v>23</v>
      </c>
      <c r="C19" s="13" t="n">
        <f aca="false">-(SUMIFS(Purchases!I4:I1000,Purchases!C4:C1000,"Supplies")+SUMIFS(Purchases!I4:I1000,Purchases!C4:C1000,"Shipping Materials"))</f>
        <v>-14.45</v>
      </c>
      <c r="D19" s="1"/>
      <c r="E19" s="1"/>
      <c r="F19" s="12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2" t="s">
        <v>21</v>
      </c>
      <c r="C20" s="13" t="n">
        <f aca="false">-SUMIFS(Purchases!I4:I1000,Purchases!C4:C1000,"Other Expense")</f>
        <v>-0</v>
      </c>
      <c r="D20" s="1"/>
      <c r="E20" s="1"/>
      <c r="F20" s="12" t="s">
        <v>24</v>
      </c>
      <c r="G20" s="13" t="n">
        <f aca="false">IFERROR(SUMPRODUCT((Purchases!H4:H1000="In Stock")*(Purchases!I4:I1000*1)),0)+IFERROR(SUMPRODUCT((Purchases!H4:H1000="Listed")*(Purchases!I4:I1000*1)),0)</f>
        <v>107.25</v>
      </c>
      <c r="H20" s="1"/>
      <c r="I20" s="1"/>
      <c r="J20" s="1"/>
      <c r="K20" s="1"/>
      <c r="L20" s="1"/>
    </row>
    <row r="21" customFormat="false" ht="23.85" hidden="false" customHeight="false" outlineLevel="0" collapsed="false">
      <c r="A21" s="1"/>
      <c r="B21" s="14" t="s">
        <v>25</v>
      </c>
      <c r="C21" s="15" t="n">
        <f aca="false">C18+C19+C20</f>
        <v>-59.45</v>
      </c>
      <c r="D21" s="16"/>
      <c r="E21" s="16"/>
      <c r="F21" s="12" t="s">
        <v>26</v>
      </c>
      <c r="G21" s="20" t="n">
        <f aca="false">COUNTA(Sales!E4:E1000)-COUNTBLANK(Sales!E4:E1000)</f>
        <v>-995</v>
      </c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2"/>
      <c r="C22" s="1"/>
      <c r="D22" s="1"/>
      <c r="E22" s="1"/>
      <c r="F22" s="12" t="s">
        <v>27</v>
      </c>
      <c r="G22" s="20" t="n">
        <f aca="false">COUNTIF(Purchases!H4:H1000,"In Stock")+COUNTIF(Purchases!H4:H1000,"Listed")</f>
        <v>3</v>
      </c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4" t="s">
        <v>28</v>
      </c>
      <c r="C23" s="15" t="n">
        <f aca="false">C16+C21</f>
        <v>164.1375</v>
      </c>
      <c r="D23" s="16"/>
      <c r="E23" s="16"/>
      <c r="F23" s="12" t="s">
        <v>29</v>
      </c>
      <c r="G23" s="13" t="n">
        <f aca="false">IFERROR(C23/G21,0)</f>
        <v>-0.164962311557789</v>
      </c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true" outlineLevel="0" collapsed="false">
      <c r="A26" s="1"/>
      <c r="B26" s="11" t="s">
        <v>30</v>
      </c>
      <c r="C26" s="11"/>
      <c r="D26" s="11"/>
      <c r="E26" s="11"/>
      <c r="F26" s="11" t="s">
        <v>31</v>
      </c>
      <c r="G26" s="11"/>
      <c r="H26" s="11"/>
      <c r="I26" s="11"/>
      <c r="J26" s="11"/>
      <c r="K26" s="11"/>
      <c r="L26" s="1"/>
    </row>
    <row r="27" customFormat="false" ht="22.35" hidden="false" customHeight="false" outlineLevel="0" collapsed="false">
      <c r="A27" s="1"/>
      <c r="B27" s="21" t="s">
        <v>32</v>
      </c>
      <c r="C27" s="22" t="n">
        <f aca="false">COUNTIF(Sales!H4:H1000,B27)</f>
        <v>1</v>
      </c>
      <c r="D27" s="23" t="n">
        <f aca="false">SUMIFS(Sales!K4:K1000,Sales!H4:H1000,B27)</f>
        <v>232.2375</v>
      </c>
      <c r="E27" s="1"/>
      <c r="F27" s="24" t="s">
        <v>33</v>
      </c>
      <c r="G27" s="24" t="s">
        <v>34</v>
      </c>
      <c r="H27" s="24" t="s">
        <v>35</v>
      </c>
      <c r="I27" s="24" t="s">
        <v>36</v>
      </c>
      <c r="J27" s="24" t="s">
        <v>37</v>
      </c>
      <c r="K27" s="24" t="s">
        <v>38</v>
      </c>
      <c r="L27" s="1"/>
    </row>
    <row r="28" customFormat="false" ht="15" hidden="false" customHeight="false" outlineLevel="0" collapsed="false">
      <c r="A28" s="1"/>
      <c r="B28" s="25" t="s">
        <v>39</v>
      </c>
      <c r="C28" s="26" t="n">
        <f aca="false">COUNTIF(Sales!H4:H1000,B28)</f>
        <v>0</v>
      </c>
      <c r="D28" s="27" t="n">
        <f aca="false">SUMIFS(Sales!K4:K1000,Sales!H4:H1000,B28)</f>
        <v>0</v>
      </c>
      <c r="E28" s="1"/>
      <c r="F28" s="28" t="str">
        <f aca="true">TEXT(EDATE(TODAY(),-5),"MMM YYYY")</f>
        <v>Sep 2025</v>
      </c>
      <c r="G28" s="23" t="n">
        <f aca="true">IFERROR(SUMPRODUCT((MONTH(Purchases!B4:B1000)=MONTH(EDATE(TODAY(),-5)))*(YEAR(Purchases!B4:B1000)=YEAR(EDATE(TODAY(),-5)))*(Purchases!I4:I1000*1)),0)</f>
        <v>0</v>
      </c>
      <c r="H28" s="23" t="n">
        <f aca="true">IFERROR(SUMPRODUCT((MONTH(Sales!B4:B1000)=MONTH(EDATE(TODAY(),-5)))*(YEAR(Sales!B4:B1000)=YEAR(EDATE(TODAY(),-5)))*(Sales!K4:K1000*1)),0)</f>
        <v>0</v>
      </c>
      <c r="I28" s="23" t="n">
        <f aca="true">IFERROR(SUMPRODUCT((MONTH(Sales!B4:B1000)=MONTH(EDATE(TODAY(),-5)))*(YEAR(Sales!B4:B1000)=YEAR(EDATE(TODAY(),-5)))*(Sales!I4:I1000*1)),0)</f>
        <v>0</v>
      </c>
      <c r="J28" s="23" t="n">
        <f aca="false">H28-G28-I28</f>
        <v>0</v>
      </c>
      <c r="K28" s="29" t="n">
        <f aca="false">J28</f>
        <v>0</v>
      </c>
      <c r="L28" s="1"/>
    </row>
    <row r="29" customFormat="false" ht="15" hidden="false" customHeight="false" outlineLevel="0" collapsed="false">
      <c r="A29" s="1"/>
      <c r="B29" s="21" t="s">
        <v>40</v>
      </c>
      <c r="C29" s="22" t="n">
        <f aca="false">COUNTIF(Sales!H4:H1000,B29)</f>
        <v>0</v>
      </c>
      <c r="D29" s="23" t="n">
        <f aca="false">SUMIFS(Sales!K4:K1000,Sales!H4:H1000,B29)</f>
        <v>0</v>
      </c>
      <c r="E29" s="1"/>
      <c r="F29" s="30" t="str">
        <f aca="true">TEXT(EDATE(TODAY(),-4),"MMM YYYY")</f>
        <v>Oct 2025</v>
      </c>
      <c r="G29" s="27" t="n">
        <f aca="true">IFERROR(SUMPRODUCT((MONTH(Purchases!B4:B1000)=MONTH(EDATE(TODAY(),-4)))*(YEAR(Purchases!B4:B1000)=YEAR(EDATE(TODAY(),-4)))*(Purchases!I4:I1000*1)),0)</f>
        <v>0</v>
      </c>
      <c r="H29" s="27" t="n">
        <f aca="true">IFERROR(SUMPRODUCT((MONTH(Sales!B4:B1000)=MONTH(EDATE(TODAY(),-4)))*(YEAR(Sales!B4:B1000)=YEAR(EDATE(TODAY(),-4)))*(Sales!K4:K1000*1)),0)</f>
        <v>0</v>
      </c>
      <c r="I29" s="27" t="n">
        <f aca="true">IFERROR(SUMPRODUCT((MONTH(Sales!B4:B1000)=MONTH(EDATE(TODAY(),-4)))*(YEAR(Sales!B4:B1000)=YEAR(EDATE(TODAY(),-4)))*(Sales!I4:I1000*1)),0)</f>
        <v>0</v>
      </c>
      <c r="J29" s="27" t="n">
        <f aca="false">H29-G29-I29</f>
        <v>0</v>
      </c>
      <c r="K29" s="31" t="n">
        <f aca="false">K28+J29</f>
        <v>0</v>
      </c>
      <c r="L29" s="1"/>
    </row>
    <row r="30" customFormat="false" ht="15" hidden="false" customHeight="false" outlineLevel="0" collapsed="false">
      <c r="A30" s="1"/>
      <c r="B30" s="25" t="s">
        <v>41</v>
      </c>
      <c r="C30" s="26" t="n">
        <f aca="false">COUNTIF(Sales!H4:H1000,B30)</f>
        <v>0</v>
      </c>
      <c r="D30" s="27" t="n">
        <f aca="false">SUMIFS(Sales!K4:K1000,Sales!H4:H1000,B30)</f>
        <v>0</v>
      </c>
      <c r="E30" s="1"/>
      <c r="F30" s="28" t="str">
        <f aca="true">TEXT(EDATE(TODAY(),-3),"MMM YYYY")</f>
        <v>Nov 2025</v>
      </c>
      <c r="G30" s="23" t="n">
        <f aca="true">IFERROR(SUMPRODUCT((MONTH(Purchases!B4:B1000)=MONTH(EDATE(TODAY(),-3)))*(YEAR(Purchases!B4:B1000)=YEAR(EDATE(TODAY(),-3)))*(Purchases!I4:I1000*1)),0)</f>
        <v>0</v>
      </c>
      <c r="H30" s="23" t="n">
        <f aca="true">IFERROR(SUMPRODUCT((MONTH(Sales!B4:B1000)=MONTH(EDATE(TODAY(),-3)))*(YEAR(Sales!B4:B1000)=YEAR(EDATE(TODAY(),-3)))*(Sales!K4:K1000*1)),0)</f>
        <v>0</v>
      </c>
      <c r="I30" s="23" t="n">
        <f aca="true">IFERROR(SUMPRODUCT((MONTH(Sales!B4:B1000)=MONTH(EDATE(TODAY(),-3)))*(YEAR(Sales!B4:B1000)=YEAR(EDATE(TODAY(),-3)))*(Sales!I4:I1000*1)),0)</f>
        <v>0</v>
      </c>
      <c r="J30" s="23" t="n">
        <f aca="false">H30-G30-I30</f>
        <v>0</v>
      </c>
      <c r="K30" s="29" t="n">
        <f aca="false">K29+J30</f>
        <v>0</v>
      </c>
      <c r="L30" s="1"/>
    </row>
    <row r="31" customFormat="false" ht="15" hidden="false" customHeight="false" outlineLevel="0" collapsed="false">
      <c r="A31" s="1"/>
      <c r="B31" s="21" t="s">
        <v>42</v>
      </c>
      <c r="C31" s="22" t="n">
        <f aca="false">COUNTIF(Sales!H4:H1000,B31)</f>
        <v>0</v>
      </c>
      <c r="D31" s="23" t="n">
        <f aca="false">SUMIFS(Sales!K4:K1000,Sales!H4:H1000,B31)</f>
        <v>0</v>
      </c>
      <c r="E31" s="1"/>
      <c r="F31" s="30" t="str">
        <f aca="true">TEXT(EDATE(TODAY(),-2),"MMM YYYY")</f>
        <v>Dec 2025</v>
      </c>
      <c r="G31" s="27" t="n">
        <f aca="true">IFERROR(SUMPRODUCT((MONTH(Purchases!B4:B1000)=MONTH(EDATE(TODAY(),-2)))*(YEAR(Purchases!B4:B1000)=YEAR(EDATE(TODAY(),-2)))*(Purchases!I4:I1000*1)),0)</f>
        <v>0</v>
      </c>
      <c r="H31" s="27" t="n">
        <f aca="true">IFERROR(SUMPRODUCT((MONTH(Sales!B4:B1000)=MONTH(EDATE(TODAY(),-2)))*(YEAR(Sales!B4:B1000)=YEAR(EDATE(TODAY(),-2)))*(Sales!K4:K1000*1)),0)</f>
        <v>0</v>
      </c>
      <c r="I31" s="27" t="n">
        <f aca="true">IFERROR(SUMPRODUCT((MONTH(Sales!B4:B1000)=MONTH(EDATE(TODAY(),-2)))*(YEAR(Sales!B4:B1000)=YEAR(EDATE(TODAY(),-2)))*(Sales!I4:I1000*1)),0)</f>
        <v>0</v>
      </c>
      <c r="J31" s="27" t="n">
        <f aca="false">H31-G31-I31</f>
        <v>0</v>
      </c>
      <c r="K31" s="31" t="n">
        <f aca="false">K30+J31</f>
        <v>0</v>
      </c>
      <c r="L31" s="1"/>
    </row>
    <row r="32" customFormat="false" ht="15" hidden="false" customHeight="false" outlineLevel="0" collapsed="false">
      <c r="A32" s="1"/>
      <c r="B32" s="25" t="s">
        <v>43</v>
      </c>
      <c r="C32" s="26" t="n">
        <f aca="false">COUNTIF(Sales!H4:H1000,B32)</f>
        <v>0</v>
      </c>
      <c r="D32" s="27" t="n">
        <f aca="false">SUMIFS(Sales!K4:K1000,Sales!H4:H1000,B32)</f>
        <v>0</v>
      </c>
      <c r="E32" s="1"/>
      <c r="F32" s="28" t="str">
        <f aca="true">TEXT(EDATE(TODAY(),-1),"MMM YYYY")</f>
        <v>Jan 2026</v>
      </c>
      <c r="G32" s="23" t="n">
        <f aca="true">IFERROR(SUMPRODUCT((MONTH(Purchases!B4:B1000)=MONTH(EDATE(TODAY(),-1)))*(YEAR(Purchases!B4:B1000)=YEAR(EDATE(TODAY(),-1)))*(Purchases!I4:I1000*1)),0)</f>
        <v>0</v>
      </c>
      <c r="H32" s="23" t="n">
        <f aca="true">IFERROR(SUMPRODUCT((MONTH(Sales!B4:B1000)=MONTH(EDATE(TODAY(),-1)))*(YEAR(Sales!B4:B1000)=YEAR(EDATE(TODAY(),-1)))*(Sales!K4:K1000*1)),0)</f>
        <v>0</v>
      </c>
      <c r="I32" s="23" t="n">
        <f aca="true">IFERROR(SUMPRODUCT((MONTH(Sales!B4:B1000)=MONTH(EDATE(TODAY(),-1)))*(YEAR(Sales!B4:B1000)=YEAR(EDATE(TODAY(),-1)))*(Sales!I4:I1000*1)),0)</f>
        <v>0</v>
      </c>
      <c r="J32" s="23" t="n">
        <f aca="false">H32-G32-I32</f>
        <v>0</v>
      </c>
      <c r="K32" s="29" t="n">
        <f aca="false">K31+J32</f>
        <v>0</v>
      </c>
      <c r="L32" s="1"/>
    </row>
    <row r="33" customFormat="false" ht="15" hidden="false" customHeight="false" outlineLevel="0" collapsed="false">
      <c r="A33" s="1"/>
      <c r="B33" s="21" t="s">
        <v>44</v>
      </c>
      <c r="C33" s="22" t="n">
        <f aca="false">COUNTIF(Sales!H4:H1000,B33)</f>
        <v>0</v>
      </c>
      <c r="D33" s="23" t="n">
        <f aca="false">SUMIFS(Sales!K4:K1000,Sales!H4:H1000,B33)</f>
        <v>0</v>
      </c>
      <c r="E33" s="1"/>
      <c r="F33" s="30" t="str">
        <f aca="true">TEXT(EDATE(TODAY(),-0),"MMM YYYY")</f>
        <v>Feb 2026</v>
      </c>
      <c r="G33" s="27" t="n">
        <f aca="true">IFERROR(SUMPRODUCT((MONTH(Purchases!B4:B1000)=MONTH(EDATE(TODAY(),-0)))*(YEAR(Purchases!B4:B1000)=YEAR(EDATE(TODAY(),-0)))*(Purchases!I4:I1000*1)),0)</f>
        <v>192.6</v>
      </c>
      <c r="H33" s="27" t="n">
        <f aca="true">IFERROR(SUMPRODUCT((MONTH(Sales!B4:B1000)=MONTH(EDATE(TODAY(),-0)))*(YEAR(Sales!B4:B1000)=YEAR(EDATE(TODAY(),-0)))*(Sales!K4:K1000*1)),0)</f>
        <v>232.2375</v>
      </c>
      <c r="I33" s="27" t="n">
        <f aca="true">IFERROR(SUMPRODUCT((MONTH(Sales!B4:B1000)=MONTH(EDATE(TODAY(),-0)))*(YEAR(Sales!B4:B1000)=YEAR(EDATE(TODAY(),-0)))*(Sales!I4:I1000*1)),0)</f>
        <v>37.7625</v>
      </c>
      <c r="J33" s="27" t="n">
        <f aca="false">H33-G33-I33</f>
        <v>1.87500000000001</v>
      </c>
      <c r="K33" s="31" t="n">
        <f aca="false">K32+J33</f>
        <v>1.87500000000001</v>
      </c>
      <c r="L33" s="1"/>
    </row>
    <row r="34" customFormat="false" ht="15" hidden="false" customHeight="false" outlineLevel="0" collapsed="false">
      <c r="A34" s="1"/>
      <c r="B34" s="25" t="s">
        <v>45</v>
      </c>
      <c r="C34" s="26" t="n">
        <f aca="false">COUNTIF(Sales!H4:H1000,B34)</f>
        <v>0</v>
      </c>
      <c r="D34" s="27" t="n">
        <f aca="false">SUMIFS(Sales!K4:K1000,Sales!H4:H1000,B34)</f>
        <v>0</v>
      </c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21" t="s">
        <v>46</v>
      </c>
      <c r="C35" s="22" t="n">
        <f aca="false">COUNTIF(Sales!H4:H1000,B35)</f>
        <v>0</v>
      </c>
      <c r="D35" s="23" t="n">
        <f aca="false">SUMIFS(Sales!K4:K1000,Sales!H4:H1000,B35)</f>
        <v>0</v>
      </c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25" t="s">
        <v>47</v>
      </c>
      <c r="C36" s="26" t="n">
        <f aca="false">COUNTIF(Sales!H4:H1000,B36)</f>
        <v>0</v>
      </c>
      <c r="D36" s="27" t="n">
        <f aca="false">SUMIFS(Sales!K4:K1000,Sales!H4:H1000,B36)</f>
        <v>0</v>
      </c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true" outlineLevel="0" collapsed="false">
      <c r="A40" s="1"/>
      <c r="B40" s="32" t="s">
        <v>48</v>
      </c>
      <c r="C40" s="32"/>
      <c r="D40" s="32"/>
      <c r="E40" s="32"/>
      <c r="F40" s="32"/>
      <c r="G40" s="32"/>
      <c r="H40" s="32"/>
      <c r="I40" s="32"/>
      <c r="J40" s="32"/>
      <c r="K40" s="32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17">
    <mergeCell ref="B2:K2"/>
    <mergeCell ref="B3:K3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9:E9"/>
    <mergeCell ref="F9:I9"/>
    <mergeCell ref="B26:E26"/>
    <mergeCell ref="F26:K26"/>
    <mergeCell ref="B40:K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0"/>
    <col collapsed="false" customWidth="true" hidden="false" outlineLevel="0" max="12" min="12" style="0" width="30"/>
    <col collapsed="false" customWidth="true" hidden="false" outlineLevel="0" max="14" min="13" style="0" width="14"/>
  </cols>
  <sheetData>
    <row r="1" customFormat="false" ht="17.35" hidden="false" customHeight="false" outlineLevel="0" collapsed="false">
      <c r="A1" s="33" t="s">
        <v>49</v>
      </c>
      <c r="B1" s="33"/>
      <c r="C1" s="33"/>
      <c r="D1" s="33"/>
      <c r="E1" s="33"/>
      <c r="F1" s="33"/>
    </row>
    <row r="2" customFormat="false" ht="15" hidden="false" customHeight="false" outlineLevel="0" collapsed="false">
      <c r="H2" s="34" t="s">
        <v>50</v>
      </c>
      <c r="J2" s="35" t="n">
        <f aca="false">SUM(I4:I1000)</f>
        <v>192.6</v>
      </c>
    </row>
    <row r="3" customFormat="false" ht="15" hidden="false" customHeight="false" outlineLevel="0" collapsed="false">
      <c r="A3" s="36" t="s">
        <v>51</v>
      </c>
      <c r="B3" s="36" t="s">
        <v>52</v>
      </c>
      <c r="C3" s="36" t="s">
        <v>53</v>
      </c>
      <c r="D3" s="36" t="s">
        <v>54</v>
      </c>
      <c r="E3" s="36" t="s">
        <v>55</v>
      </c>
      <c r="F3" s="36" t="s">
        <v>56</v>
      </c>
      <c r="G3" s="36" t="s">
        <v>57</v>
      </c>
      <c r="H3" s="36" t="s">
        <v>58</v>
      </c>
      <c r="I3" s="36" t="s">
        <v>59</v>
      </c>
      <c r="J3" s="36" t="s">
        <v>60</v>
      </c>
      <c r="K3" s="36" t="s">
        <v>61</v>
      </c>
      <c r="L3" s="36" t="s">
        <v>62</v>
      </c>
      <c r="M3" s="36" t="s">
        <v>63</v>
      </c>
      <c r="N3" s="36" t="s">
        <v>64</v>
      </c>
    </row>
    <row r="4" customFormat="false" ht="15" hidden="false" customHeight="false" outlineLevel="0" collapsed="false">
      <c r="A4" s="37" t="n">
        <f aca="false">IF(B4="","",ROW()-3)</f>
        <v>1</v>
      </c>
      <c r="B4" s="38" t="n">
        <v>46054</v>
      </c>
      <c r="C4" s="39" t="s">
        <v>65</v>
      </c>
      <c r="D4" s="39" t="s">
        <v>66</v>
      </c>
      <c r="E4" s="39" t="s">
        <v>67</v>
      </c>
      <c r="F4" s="39" t="n">
        <v>1</v>
      </c>
      <c r="G4" s="40" t="n">
        <v>89.95</v>
      </c>
      <c r="H4" s="39" t="s">
        <v>68</v>
      </c>
      <c r="I4" s="40" t="n">
        <f aca="false">IF(F4="",0,F4*G4)</f>
        <v>89.95</v>
      </c>
      <c r="J4" s="39" t="s">
        <v>69</v>
      </c>
      <c r="K4" s="39"/>
      <c r="L4" s="39" t="s">
        <v>70</v>
      </c>
      <c r="M4" s="39"/>
      <c r="N4" s="40" t="str">
        <f aca="false">IF(AND(M4&lt;&gt;"",F4&lt;&gt;""),F4*M4,"")</f>
        <v/>
      </c>
    </row>
    <row r="5" customFormat="false" ht="15" hidden="false" customHeight="false" outlineLevel="0" collapsed="false">
      <c r="A5" s="41" t="n">
        <f aca="false">IF(B5="","",ROW()-3)</f>
        <v>2</v>
      </c>
      <c r="B5" s="42" t="n">
        <v>46054</v>
      </c>
      <c r="C5" s="43" t="s">
        <v>65</v>
      </c>
      <c r="D5" s="43" t="s">
        <v>71</v>
      </c>
      <c r="E5" s="43" t="s">
        <v>67</v>
      </c>
      <c r="F5" s="0" t="n">
        <v>2</v>
      </c>
      <c r="G5" s="44" t="n">
        <v>12.95</v>
      </c>
      <c r="H5" s="43" t="s">
        <v>72</v>
      </c>
      <c r="I5" s="44" t="n">
        <f aca="false">IF(F5="",0,F5*G5)</f>
        <v>25.9</v>
      </c>
      <c r="J5" s="43" t="s">
        <v>73</v>
      </c>
      <c r="L5" s="43" t="s">
        <v>74</v>
      </c>
      <c r="N5" s="44" t="str">
        <f aca="false">IF(AND(M5&lt;&gt;"",F5&lt;&gt;""),F5*M5,"")</f>
        <v/>
      </c>
    </row>
    <row r="6" customFormat="false" ht="15" hidden="false" customHeight="false" outlineLevel="0" collapsed="false">
      <c r="A6" s="37" t="n">
        <f aca="false">IF(B6="","",ROW()-3)</f>
        <v>3</v>
      </c>
      <c r="B6" s="38" t="n">
        <v>46056</v>
      </c>
      <c r="C6" s="39" t="s">
        <v>75</v>
      </c>
      <c r="D6" s="39" t="s">
        <v>76</v>
      </c>
      <c r="E6" s="39" t="s">
        <v>67</v>
      </c>
      <c r="F6" s="39" t="n">
        <v>1</v>
      </c>
      <c r="G6" s="40" t="n">
        <v>8.65</v>
      </c>
      <c r="H6" s="39" t="s">
        <v>77</v>
      </c>
      <c r="I6" s="40" t="n">
        <f aca="false">IF(F6="",0,F6*G6)</f>
        <v>8.65</v>
      </c>
      <c r="J6" s="39" t="s">
        <v>78</v>
      </c>
      <c r="K6" s="39" t="s">
        <v>79</v>
      </c>
      <c r="L6" s="39" t="s">
        <v>80</v>
      </c>
      <c r="M6" s="39"/>
      <c r="N6" s="40" t="str">
        <f aca="false">IF(AND(M6&lt;&gt;"",F6&lt;&gt;""),F6*M6,"")</f>
        <v/>
      </c>
    </row>
    <row r="7" customFormat="false" ht="15" hidden="false" customHeight="false" outlineLevel="0" collapsed="false">
      <c r="A7" s="41" t="n">
        <f aca="false">IF(B7="","",ROW()-3)</f>
        <v>4</v>
      </c>
      <c r="B7" s="42" t="n">
        <v>46056</v>
      </c>
      <c r="C7" s="43" t="s">
        <v>75</v>
      </c>
      <c r="D7" s="43" t="s">
        <v>81</v>
      </c>
      <c r="E7" s="43" t="s">
        <v>67</v>
      </c>
      <c r="F7" s="0" t="n">
        <v>1</v>
      </c>
      <c r="G7" s="44" t="n">
        <v>8.65</v>
      </c>
      <c r="H7" s="43" t="s">
        <v>68</v>
      </c>
      <c r="I7" s="44" t="n">
        <f aca="false">IF(F7="",0,F7*G7)</f>
        <v>8.65</v>
      </c>
      <c r="J7" s="43" t="s">
        <v>78</v>
      </c>
      <c r="K7" s="43" t="s">
        <v>79</v>
      </c>
      <c r="L7" s="43" t="s">
        <v>80</v>
      </c>
      <c r="N7" s="44" t="str">
        <f aca="false">IF(AND(M7&lt;&gt;"",F7&lt;&gt;""),F7*M7,"")</f>
        <v/>
      </c>
    </row>
    <row r="8" customFormat="false" ht="15" hidden="false" customHeight="false" outlineLevel="0" collapsed="false">
      <c r="A8" s="37" t="n">
        <f aca="false">IF(B8="","",ROW()-3)</f>
        <v>5</v>
      </c>
      <c r="B8" s="38" t="n">
        <v>46058</v>
      </c>
      <c r="C8" s="39" t="s">
        <v>82</v>
      </c>
      <c r="D8" s="39" t="s">
        <v>83</v>
      </c>
      <c r="E8" s="39"/>
      <c r="F8" s="39" t="n">
        <v>1</v>
      </c>
      <c r="G8" s="40" t="n">
        <v>5.5</v>
      </c>
      <c r="H8" s="39" t="s">
        <v>84</v>
      </c>
      <c r="I8" s="40" t="n">
        <f aca="false">IF(F8="",0,F8*G8)</f>
        <v>5.5</v>
      </c>
      <c r="J8" s="39" t="s">
        <v>85</v>
      </c>
      <c r="K8" s="39"/>
      <c r="L8" s="39"/>
      <c r="M8" s="39"/>
      <c r="N8" s="40" t="str">
        <f aca="false">IF(AND(M8&lt;&gt;"",F8&lt;&gt;""),F8*M8,"")</f>
        <v/>
      </c>
    </row>
    <row r="9" customFormat="false" ht="15" hidden="false" customHeight="false" outlineLevel="0" collapsed="false">
      <c r="A9" s="41" t="n">
        <f aca="false">IF(B9="","",ROW()-3)</f>
        <v>6</v>
      </c>
      <c r="B9" s="42" t="n">
        <v>46058</v>
      </c>
      <c r="C9" s="43" t="s">
        <v>82</v>
      </c>
      <c r="D9" s="43" t="s">
        <v>86</v>
      </c>
      <c r="F9" s="0" t="n">
        <v>1</v>
      </c>
      <c r="G9" s="44" t="n">
        <v>8.95</v>
      </c>
      <c r="H9" s="43" t="s">
        <v>84</v>
      </c>
      <c r="I9" s="44" t="n">
        <f aca="false">IF(F9="",0,F9*G9)</f>
        <v>8.95</v>
      </c>
      <c r="J9" s="43" t="s">
        <v>85</v>
      </c>
      <c r="N9" s="44" t="str">
        <f aca="false">IF(AND(M9&lt;&gt;"",F9&lt;&gt;""),F9*M9,"")</f>
        <v/>
      </c>
    </row>
    <row r="10" customFormat="false" ht="15" hidden="false" customHeight="false" outlineLevel="0" collapsed="false">
      <c r="A10" s="37" t="n">
        <f aca="false">IF(B10="","",ROW()-3)</f>
        <v>7</v>
      </c>
      <c r="B10" s="38" t="n">
        <v>46063</v>
      </c>
      <c r="C10" s="39" t="s">
        <v>19</v>
      </c>
      <c r="D10" s="39" t="s">
        <v>87</v>
      </c>
      <c r="E10" s="39"/>
      <c r="F10" s="39" t="n">
        <v>1</v>
      </c>
      <c r="G10" s="40" t="n">
        <v>45</v>
      </c>
      <c r="H10" s="39" t="s">
        <v>84</v>
      </c>
      <c r="I10" s="40" t="n">
        <f aca="false">IF(F10="",0,F10*G10)</f>
        <v>45</v>
      </c>
      <c r="J10" s="39" t="s">
        <v>88</v>
      </c>
      <c r="K10" s="39" t="s">
        <v>89</v>
      </c>
      <c r="L10" s="39" t="s">
        <v>90</v>
      </c>
      <c r="M10" s="39"/>
      <c r="N10" s="40" t="str">
        <f aca="false">IF(AND(M10&lt;&gt;"",F10&lt;&gt;""),F10*M10,"")</f>
        <v/>
      </c>
    </row>
    <row r="11" customFormat="false" ht="15" hidden="false" customHeight="false" outlineLevel="0" collapsed="false">
      <c r="A11" s="41" t="str">
        <f aca="false">IF(B11="","",ROW()-3)</f>
        <v/>
      </c>
      <c r="B11" s="42"/>
      <c r="C11" s="43"/>
      <c r="G11" s="44"/>
      <c r="H11" s="43"/>
      <c r="I11" s="44" t="n">
        <f aca="false">IF(F11="",0,F11*G11)</f>
        <v>0</v>
      </c>
      <c r="N11" s="44" t="str">
        <f aca="false">IF(AND(M11&lt;&gt;"",F11&lt;&gt;""),F11*M11,"")</f>
        <v/>
      </c>
    </row>
    <row r="12" customFormat="false" ht="15" hidden="false" customHeight="false" outlineLevel="0" collapsed="false">
      <c r="A12" s="37" t="str">
        <f aca="false">IF(B12="","",ROW()-3)</f>
        <v/>
      </c>
      <c r="B12" s="38"/>
      <c r="C12" s="39"/>
      <c r="D12" s="39"/>
      <c r="E12" s="39"/>
      <c r="F12" s="39"/>
      <c r="G12" s="40"/>
      <c r="H12" s="39"/>
      <c r="I12" s="40" t="n">
        <f aca="false">IF(F12="",0,F12*G12)</f>
        <v>0</v>
      </c>
      <c r="J12" s="39"/>
      <c r="K12" s="39"/>
      <c r="L12" s="39"/>
      <c r="M12" s="39"/>
      <c r="N12" s="40" t="str">
        <f aca="false">IF(AND(M12&lt;&gt;"",F12&lt;&gt;""),F12*M12,"")</f>
        <v/>
      </c>
    </row>
    <row r="13" customFormat="false" ht="15" hidden="false" customHeight="false" outlineLevel="0" collapsed="false">
      <c r="A13" s="41" t="str">
        <f aca="false">IF(B13="","",ROW()-3)</f>
        <v/>
      </c>
      <c r="B13" s="42"/>
      <c r="C13" s="43"/>
      <c r="G13" s="44"/>
      <c r="H13" s="43"/>
      <c r="I13" s="44" t="n">
        <f aca="false">IF(F13="",0,F13*G13)</f>
        <v>0</v>
      </c>
      <c r="N13" s="44" t="str">
        <f aca="false">IF(AND(M13&lt;&gt;"",F13&lt;&gt;""),F13*M13,"")</f>
        <v/>
      </c>
    </row>
    <row r="14" customFormat="false" ht="15" hidden="false" customHeight="false" outlineLevel="0" collapsed="false">
      <c r="A14" s="37" t="str">
        <f aca="false">IF(B14="","",ROW()-3)</f>
        <v/>
      </c>
      <c r="B14" s="38"/>
      <c r="C14" s="39"/>
      <c r="D14" s="39"/>
      <c r="E14" s="39"/>
      <c r="F14" s="39"/>
      <c r="G14" s="40"/>
      <c r="H14" s="39"/>
      <c r="I14" s="40" t="n">
        <f aca="false">IF(F14="",0,F14*G14)</f>
        <v>0</v>
      </c>
      <c r="J14" s="39"/>
      <c r="K14" s="39"/>
      <c r="L14" s="39"/>
      <c r="M14" s="39"/>
      <c r="N14" s="40" t="str">
        <f aca="false">IF(AND(M14&lt;&gt;"",F14&lt;&gt;""),F14*M14,"")</f>
        <v/>
      </c>
    </row>
    <row r="15" customFormat="false" ht="15" hidden="false" customHeight="false" outlineLevel="0" collapsed="false">
      <c r="A15" s="41" t="str">
        <f aca="false">IF(B15="","",ROW()-3)</f>
        <v/>
      </c>
      <c r="B15" s="42"/>
      <c r="C15" s="43"/>
      <c r="G15" s="44"/>
      <c r="H15" s="43"/>
      <c r="I15" s="44" t="n">
        <f aca="false">IF(F15="",0,F15*G15)</f>
        <v>0</v>
      </c>
      <c r="N15" s="44" t="str">
        <f aca="false">IF(AND(M15&lt;&gt;"",F15&lt;&gt;""),F15*M15,"")</f>
        <v/>
      </c>
    </row>
    <row r="16" customFormat="false" ht="15" hidden="false" customHeight="false" outlineLevel="0" collapsed="false">
      <c r="A16" s="37" t="str">
        <f aca="false">IF(B16="","",ROW()-3)</f>
        <v/>
      </c>
      <c r="B16" s="38"/>
      <c r="C16" s="39"/>
      <c r="D16" s="39"/>
      <c r="E16" s="39"/>
      <c r="F16" s="39"/>
      <c r="G16" s="40"/>
      <c r="H16" s="39"/>
      <c r="I16" s="40" t="n">
        <f aca="false">IF(F16="",0,F16*G16)</f>
        <v>0</v>
      </c>
      <c r="J16" s="39"/>
      <c r="K16" s="39"/>
      <c r="L16" s="39"/>
      <c r="M16" s="39"/>
      <c r="N16" s="40" t="str">
        <f aca="false">IF(AND(M16&lt;&gt;"",F16&lt;&gt;""),F16*M16,"")</f>
        <v/>
      </c>
    </row>
    <row r="17" customFormat="false" ht="15" hidden="false" customHeight="false" outlineLevel="0" collapsed="false">
      <c r="A17" s="41" t="str">
        <f aca="false">IF(B17="","",ROW()-3)</f>
        <v/>
      </c>
      <c r="B17" s="42"/>
      <c r="C17" s="43"/>
      <c r="G17" s="44"/>
      <c r="H17" s="43"/>
      <c r="I17" s="44" t="n">
        <f aca="false">IF(F17="",0,F17*G17)</f>
        <v>0</v>
      </c>
      <c r="N17" s="44" t="str">
        <f aca="false">IF(AND(M17&lt;&gt;"",F17&lt;&gt;""),F17*M17,"")</f>
        <v/>
      </c>
    </row>
    <row r="18" customFormat="false" ht="15" hidden="false" customHeight="false" outlineLevel="0" collapsed="false">
      <c r="A18" s="37" t="str">
        <f aca="false">IF(B18="","",ROW()-3)</f>
        <v/>
      </c>
      <c r="B18" s="38"/>
      <c r="C18" s="39"/>
      <c r="D18" s="39"/>
      <c r="E18" s="39"/>
      <c r="F18" s="39"/>
      <c r="G18" s="40"/>
      <c r="H18" s="39"/>
      <c r="I18" s="40" t="n">
        <f aca="false">IF(F18="",0,F18*G18)</f>
        <v>0</v>
      </c>
      <c r="J18" s="39"/>
      <c r="K18" s="39"/>
      <c r="L18" s="39"/>
      <c r="M18" s="39"/>
      <c r="N18" s="40" t="str">
        <f aca="false">IF(AND(M18&lt;&gt;"",F18&lt;&gt;""),F18*M18,"")</f>
        <v/>
      </c>
    </row>
    <row r="19" customFormat="false" ht="15" hidden="false" customHeight="false" outlineLevel="0" collapsed="false">
      <c r="A19" s="41" t="str">
        <f aca="false">IF(B19="","",ROW()-3)</f>
        <v/>
      </c>
      <c r="B19" s="42"/>
      <c r="C19" s="43"/>
      <c r="G19" s="44"/>
      <c r="H19" s="43"/>
      <c r="I19" s="44" t="n">
        <f aca="false">IF(F19="",0,F19*G19)</f>
        <v>0</v>
      </c>
      <c r="N19" s="44" t="str">
        <f aca="false">IF(AND(M19&lt;&gt;"",F19&lt;&gt;""),F19*M19,"")</f>
        <v/>
      </c>
    </row>
    <row r="20" customFormat="false" ht="15" hidden="false" customHeight="false" outlineLevel="0" collapsed="false">
      <c r="A20" s="37" t="str">
        <f aca="false">IF(B20="","",ROW()-3)</f>
        <v/>
      </c>
      <c r="B20" s="38"/>
      <c r="C20" s="39"/>
      <c r="D20" s="39"/>
      <c r="E20" s="39"/>
      <c r="F20" s="39"/>
      <c r="G20" s="40"/>
      <c r="H20" s="39"/>
      <c r="I20" s="40" t="n">
        <f aca="false">IF(F20="",0,F20*G20)</f>
        <v>0</v>
      </c>
      <c r="J20" s="39"/>
      <c r="K20" s="39"/>
      <c r="L20" s="39"/>
      <c r="M20" s="39"/>
      <c r="N20" s="40" t="str">
        <f aca="false">IF(AND(M20&lt;&gt;"",F20&lt;&gt;""),F20*M20,"")</f>
        <v/>
      </c>
    </row>
    <row r="21" customFormat="false" ht="15" hidden="false" customHeight="false" outlineLevel="0" collapsed="false">
      <c r="A21" s="41" t="str">
        <f aca="false">IF(B21="","",ROW()-3)</f>
        <v/>
      </c>
      <c r="B21" s="42"/>
      <c r="C21" s="43"/>
      <c r="G21" s="44"/>
      <c r="H21" s="43"/>
      <c r="I21" s="44" t="n">
        <f aca="false">IF(F21="",0,F21*G21)</f>
        <v>0</v>
      </c>
      <c r="N21" s="44" t="str">
        <f aca="false">IF(AND(M21&lt;&gt;"",F21&lt;&gt;""),F21*M21,"")</f>
        <v/>
      </c>
    </row>
    <row r="22" customFormat="false" ht="15" hidden="false" customHeight="false" outlineLevel="0" collapsed="false">
      <c r="A22" s="37" t="str">
        <f aca="false">IF(B22="","",ROW()-3)</f>
        <v/>
      </c>
      <c r="B22" s="38"/>
      <c r="C22" s="39"/>
      <c r="D22" s="39"/>
      <c r="E22" s="39"/>
      <c r="F22" s="39"/>
      <c r="G22" s="40"/>
      <c r="H22" s="39"/>
      <c r="I22" s="40" t="n">
        <f aca="false">IF(F22="",0,F22*G22)</f>
        <v>0</v>
      </c>
      <c r="J22" s="39"/>
      <c r="K22" s="39"/>
      <c r="L22" s="39"/>
      <c r="M22" s="39"/>
      <c r="N22" s="40" t="str">
        <f aca="false">IF(AND(M22&lt;&gt;"",F22&lt;&gt;""),F22*M22,"")</f>
        <v/>
      </c>
    </row>
    <row r="23" customFormat="false" ht="15" hidden="false" customHeight="false" outlineLevel="0" collapsed="false">
      <c r="A23" s="41" t="str">
        <f aca="false">IF(B23="","",ROW()-3)</f>
        <v/>
      </c>
      <c r="B23" s="42"/>
      <c r="C23" s="43"/>
      <c r="G23" s="44"/>
      <c r="H23" s="43"/>
      <c r="I23" s="44" t="n">
        <f aca="false">IF(F23="",0,F23*G23)</f>
        <v>0</v>
      </c>
      <c r="N23" s="44" t="str">
        <f aca="false">IF(AND(M23&lt;&gt;"",F23&lt;&gt;""),F23*M23,"")</f>
        <v/>
      </c>
    </row>
    <row r="24" customFormat="false" ht="15" hidden="false" customHeight="false" outlineLevel="0" collapsed="false">
      <c r="A24" s="37" t="str">
        <f aca="false">IF(B24="","",ROW()-3)</f>
        <v/>
      </c>
      <c r="B24" s="38"/>
      <c r="C24" s="39"/>
      <c r="D24" s="39"/>
      <c r="E24" s="39"/>
      <c r="F24" s="39"/>
      <c r="G24" s="40"/>
      <c r="H24" s="39"/>
      <c r="I24" s="40" t="n">
        <f aca="false">IF(F24="",0,F24*G24)</f>
        <v>0</v>
      </c>
      <c r="J24" s="39"/>
      <c r="K24" s="39"/>
      <c r="L24" s="39"/>
      <c r="M24" s="39"/>
      <c r="N24" s="40" t="str">
        <f aca="false">IF(AND(M24&lt;&gt;"",F24&lt;&gt;""),F24*M24,"")</f>
        <v/>
      </c>
    </row>
    <row r="25" customFormat="false" ht="15" hidden="false" customHeight="false" outlineLevel="0" collapsed="false">
      <c r="A25" s="41" t="str">
        <f aca="false">IF(B25="","",ROW()-3)</f>
        <v/>
      </c>
      <c r="B25" s="42"/>
      <c r="C25" s="43"/>
      <c r="G25" s="44"/>
      <c r="H25" s="43"/>
      <c r="I25" s="44" t="n">
        <f aca="false">IF(F25="",0,F25*G25)</f>
        <v>0</v>
      </c>
      <c r="N25" s="44" t="str">
        <f aca="false">IF(AND(M25&lt;&gt;"",F25&lt;&gt;""),F25*M25,"")</f>
        <v/>
      </c>
    </row>
    <row r="26" customFormat="false" ht="15" hidden="false" customHeight="false" outlineLevel="0" collapsed="false">
      <c r="A26" s="37" t="str">
        <f aca="false">IF(B26="","",ROW()-3)</f>
        <v/>
      </c>
      <c r="B26" s="38"/>
      <c r="C26" s="39"/>
      <c r="D26" s="39"/>
      <c r="E26" s="39"/>
      <c r="F26" s="39"/>
      <c r="G26" s="40"/>
      <c r="H26" s="39"/>
      <c r="I26" s="40" t="n">
        <f aca="false">IF(F26="",0,F26*G26)</f>
        <v>0</v>
      </c>
      <c r="J26" s="39"/>
      <c r="K26" s="39"/>
      <c r="L26" s="39"/>
      <c r="M26" s="39"/>
      <c r="N26" s="40" t="str">
        <f aca="false">IF(AND(M26&lt;&gt;"",F26&lt;&gt;""),F26*M26,"")</f>
        <v/>
      </c>
    </row>
    <row r="27" customFormat="false" ht="15" hidden="false" customHeight="false" outlineLevel="0" collapsed="false">
      <c r="A27" s="41" t="str">
        <f aca="false">IF(B27="","",ROW()-3)</f>
        <v/>
      </c>
      <c r="B27" s="42"/>
      <c r="C27" s="43"/>
      <c r="G27" s="44"/>
      <c r="H27" s="43"/>
      <c r="I27" s="44" t="n">
        <f aca="false">IF(F27="",0,F27*G27)</f>
        <v>0</v>
      </c>
      <c r="N27" s="44" t="str">
        <f aca="false">IF(AND(M27&lt;&gt;"",F27&lt;&gt;""),F27*M27,"")</f>
        <v/>
      </c>
    </row>
    <row r="28" customFormat="false" ht="15" hidden="false" customHeight="false" outlineLevel="0" collapsed="false">
      <c r="A28" s="37" t="str">
        <f aca="false">IF(B28="","",ROW()-3)</f>
        <v/>
      </c>
      <c r="B28" s="38"/>
      <c r="C28" s="39"/>
      <c r="D28" s="39"/>
      <c r="E28" s="39"/>
      <c r="F28" s="39"/>
      <c r="G28" s="40"/>
      <c r="H28" s="39"/>
      <c r="I28" s="40" t="n">
        <f aca="false">IF(F28="",0,F28*G28)</f>
        <v>0</v>
      </c>
      <c r="J28" s="39"/>
      <c r="K28" s="39"/>
      <c r="L28" s="39"/>
      <c r="M28" s="39"/>
      <c r="N28" s="40" t="str">
        <f aca="false">IF(AND(M28&lt;&gt;"",F28&lt;&gt;""),F28*M28,"")</f>
        <v/>
      </c>
    </row>
    <row r="29" customFormat="false" ht="15" hidden="false" customHeight="false" outlineLevel="0" collapsed="false">
      <c r="A29" s="41" t="str">
        <f aca="false">IF(B29="","",ROW()-3)</f>
        <v/>
      </c>
      <c r="B29" s="42"/>
      <c r="C29" s="43"/>
      <c r="G29" s="44"/>
      <c r="H29" s="43"/>
      <c r="I29" s="44" t="n">
        <f aca="false">IF(F29="",0,F29*G29)</f>
        <v>0</v>
      </c>
      <c r="N29" s="44" t="str">
        <f aca="false">IF(AND(M29&lt;&gt;"",F29&lt;&gt;""),F29*M29,"")</f>
        <v/>
      </c>
    </row>
    <row r="30" customFormat="false" ht="15" hidden="false" customHeight="false" outlineLevel="0" collapsed="false">
      <c r="A30" s="37" t="str">
        <f aca="false">IF(B30="","",ROW()-3)</f>
        <v/>
      </c>
      <c r="B30" s="38"/>
      <c r="C30" s="39"/>
      <c r="D30" s="39"/>
      <c r="E30" s="39"/>
      <c r="F30" s="39"/>
      <c r="G30" s="40"/>
      <c r="H30" s="39"/>
      <c r="I30" s="40" t="n">
        <f aca="false">IF(F30="",0,F30*G30)</f>
        <v>0</v>
      </c>
      <c r="J30" s="39"/>
      <c r="K30" s="39"/>
      <c r="L30" s="39"/>
      <c r="M30" s="39"/>
      <c r="N30" s="40" t="str">
        <f aca="false">IF(AND(M30&lt;&gt;"",F30&lt;&gt;""),F30*M30,"")</f>
        <v/>
      </c>
    </row>
    <row r="31" customFormat="false" ht="15" hidden="false" customHeight="false" outlineLevel="0" collapsed="false">
      <c r="A31" s="41" t="str">
        <f aca="false">IF(B31="","",ROW()-3)</f>
        <v/>
      </c>
      <c r="B31" s="42"/>
      <c r="C31" s="43"/>
      <c r="G31" s="44"/>
      <c r="H31" s="43"/>
      <c r="I31" s="44" t="n">
        <f aca="false">IF(F31="",0,F31*G31)</f>
        <v>0</v>
      </c>
      <c r="N31" s="44" t="str">
        <f aca="false">IF(AND(M31&lt;&gt;"",F31&lt;&gt;""),F31*M31,"")</f>
        <v/>
      </c>
    </row>
    <row r="32" customFormat="false" ht="15" hidden="false" customHeight="false" outlineLevel="0" collapsed="false">
      <c r="A32" s="37" t="str">
        <f aca="false">IF(B32="","",ROW()-3)</f>
        <v/>
      </c>
      <c r="B32" s="38"/>
      <c r="C32" s="39"/>
      <c r="D32" s="39"/>
      <c r="E32" s="39"/>
      <c r="F32" s="39"/>
      <c r="G32" s="40"/>
      <c r="H32" s="39"/>
      <c r="I32" s="40" t="n">
        <f aca="false">IF(F32="",0,F32*G32)</f>
        <v>0</v>
      </c>
      <c r="J32" s="39"/>
      <c r="K32" s="39"/>
      <c r="L32" s="39"/>
      <c r="M32" s="39"/>
      <c r="N32" s="40" t="str">
        <f aca="false">IF(AND(M32&lt;&gt;"",F32&lt;&gt;""),F32*M32,"")</f>
        <v/>
      </c>
    </row>
    <row r="33" customFormat="false" ht="15" hidden="false" customHeight="false" outlineLevel="0" collapsed="false">
      <c r="A33" s="41" t="str">
        <f aca="false">IF(B33="","",ROW()-3)</f>
        <v/>
      </c>
      <c r="B33" s="42"/>
      <c r="C33" s="43"/>
      <c r="G33" s="44"/>
      <c r="H33" s="43"/>
      <c r="I33" s="44" t="n">
        <f aca="false">IF(F33="",0,F33*G33)</f>
        <v>0</v>
      </c>
      <c r="N33" s="44" t="str">
        <f aca="false">IF(AND(M33&lt;&gt;"",F33&lt;&gt;""),F33*M33,"")</f>
        <v/>
      </c>
    </row>
    <row r="34" customFormat="false" ht="15" hidden="false" customHeight="false" outlineLevel="0" collapsed="false">
      <c r="A34" s="37" t="str">
        <f aca="false">IF(B34="","",ROW()-3)</f>
        <v/>
      </c>
      <c r="B34" s="38"/>
      <c r="C34" s="39"/>
      <c r="D34" s="39"/>
      <c r="E34" s="39"/>
      <c r="F34" s="39"/>
      <c r="G34" s="40"/>
      <c r="H34" s="39"/>
      <c r="I34" s="40" t="n">
        <f aca="false">IF(F34="",0,F34*G34)</f>
        <v>0</v>
      </c>
      <c r="J34" s="39"/>
      <c r="K34" s="39"/>
      <c r="L34" s="39"/>
      <c r="M34" s="39"/>
      <c r="N34" s="40" t="str">
        <f aca="false">IF(AND(M34&lt;&gt;"",F34&lt;&gt;""),F34*M34,"")</f>
        <v/>
      </c>
    </row>
    <row r="35" customFormat="false" ht="15" hidden="false" customHeight="false" outlineLevel="0" collapsed="false">
      <c r="A35" s="41" t="str">
        <f aca="false">IF(B35="","",ROW()-3)</f>
        <v/>
      </c>
      <c r="B35" s="42"/>
      <c r="C35" s="43"/>
      <c r="G35" s="44"/>
      <c r="H35" s="43"/>
      <c r="I35" s="44" t="n">
        <f aca="false">IF(F35="",0,F35*G35)</f>
        <v>0</v>
      </c>
      <c r="N35" s="44" t="str">
        <f aca="false">IF(AND(M35&lt;&gt;"",F35&lt;&gt;""),F35*M35,"")</f>
        <v/>
      </c>
    </row>
    <row r="36" customFormat="false" ht="15" hidden="false" customHeight="false" outlineLevel="0" collapsed="false">
      <c r="A36" s="37" t="str">
        <f aca="false">IF(B36="","",ROW()-3)</f>
        <v/>
      </c>
      <c r="B36" s="38"/>
      <c r="C36" s="39"/>
      <c r="D36" s="39"/>
      <c r="E36" s="39"/>
      <c r="F36" s="39"/>
      <c r="G36" s="40"/>
      <c r="H36" s="39"/>
      <c r="I36" s="40" t="n">
        <f aca="false">IF(F36="",0,F36*G36)</f>
        <v>0</v>
      </c>
      <c r="J36" s="39"/>
      <c r="K36" s="39"/>
      <c r="L36" s="39"/>
      <c r="M36" s="39"/>
      <c r="N36" s="40" t="str">
        <f aca="false">IF(AND(M36&lt;&gt;"",F36&lt;&gt;""),F36*M36,"")</f>
        <v/>
      </c>
    </row>
    <row r="37" customFormat="false" ht="15" hidden="false" customHeight="false" outlineLevel="0" collapsed="false">
      <c r="A37" s="41" t="str">
        <f aca="false">IF(B37="","",ROW()-3)</f>
        <v/>
      </c>
      <c r="B37" s="42"/>
      <c r="C37" s="43"/>
      <c r="G37" s="44"/>
      <c r="H37" s="43"/>
      <c r="I37" s="44" t="n">
        <f aca="false">IF(F37="",0,F37*G37)</f>
        <v>0</v>
      </c>
      <c r="N37" s="44" t="str">
        <f aca="false">IF(AND(M37&lt;&gt;"",F37&lt;&gt;""),F37*M37,"")</f>
        <v/>
      </c>
    </row>
    <row r="38" customFormat="false" ht="15" hidden="false" customHeight="false" outlineLevel="0" collapsed="false">
      <c r="A38" s="37" t="str">
        <f aca="false">IF(B38="","",ROW()-3)</f>
        <v/>
      </c>
      <c r="B38" s="38"/>
      <c r="C38" s="39"/>
      <c r="D38" s="39"/>
      <c r="E38" s="39"/>
      <c r="F38" s="39"/>
      <c r="G38" s="40"/>
      <c r="H38" s="39"/>
      <c r="I38" s="40" t="n">
        <f aca="false">IF(F38="",0,F38*G38)</f>
        <v>0</v>
      </c>
      <c r="J38" s="39"/>
      <c r="K38" s="39"/>
      <c r="L38" s="39"/>
      <c r="M38" s="39"/>
      <c r="N38" s="40" t="str">
        <f aca="false">IF(AND(M38&lt;&gt;"",F38&lt;&gt;""),F38*M38,"")</f>
        <v/>
      </c>
    </row>
    <row r="39" customFormat="false" ht="15" hidden="false" customHeight="false" outlineLevel="0" collapsed="false">
      <c r="A39" s="41" t="str">
        <f aca="false">IF(B39="","",ROW()-3)</f>
        <v/>
      </c>
      <c r="B39" s="42"/>
      <c r="C39" s="43"/>
      <c r="G39" s="44"/>
      <c r="H39" s="43"/>
      <c r="I39" s="44" t="n">
        <f aca="false">IF(F39="",0,F39*G39)</f>
        <v>0</v>
      </c>
      <c r="N39" s="44" t="str">
        <f aca="false">IF(AND(M39&lt;&gt;"",F39&lt;&gt;""),F39*M39,"")</f>
        <v/>
      </c>
    </row>
    <row r="40" customFormat="false" ht="15" hidden="false" customHeight="false" outlineLevel="0" collapsed="false">
      <c r="A40" s="37" t="str">
        <f aca="false">IF(B40="","",ROW()-3)</f>
        <v/>
      </c>
      <c r="B40" s="38"/>
      <c r="C40" s="39"/>
      <c r="D40" s="39"/>
      <c r="E40" s="39"/>
      <c r="F40" s="39"/>
      <c r="G40" s="40"/>
      <c r="H40" s="39"/>
      <c r="I40" s="40" t="n">
        <f aca="false">IF(F40="",0,F40*G40)</f>
        <v>0</v>
      </c>
      <c r="J40" s="39"/>
      <c r="K40" s="39"/>
      <c r="L40" s="39"/>
      <c r="M40" s="39"/>
      <c r="N40" s="40" t="str">
        <f aca="false">IF(AND(M40&lt;&gt;"",F40&lt;&gt;""),F40*M40,"")</f>
        <v/>
      </c>
    </row>
    <row r="41" customFormat="false" ht="15" hidden="false" customHeight="false" outlineLevel="0" collapsed="false">
      <c r="A41" s="41" t="str">
        <f aca="false">IF(B41="","",ROW()-3)</f>
        <v/>
      </c>
      <c r="B41" s="42"/>
      <c r="C41" s="43"/>
      <c r="G41" s="44"/>
      <c r="H41" s="43"/>
      <c r="I41" s="44" t="n">
        <f aca="false">IF(F41="",0,F41*G41)</f>
        <v>0</v>
      </c>
      <c r="N41" s="44" t="str">
        <f aca="false">IF(AND(M41&lt;&gt;"",F41&lt;&gt;""),F41*M41,"")</f>
        <v/>
      </c>
    </row>
    <row r="42" customFormat="false" ht="15" hidden="false" customHeight="false" outlineLevel="0" collapsed="false">
      <c r="A42" s="37" t="str">
        <f aca="false">IF(B42="","",ROW()-3)</f>
        <v/>
      </c>
      <c r="B42" s="38"/>
      <c r="C42" s="39"/>
      <c r="D42" s="39"/>
      <c r="E42" s="39"/>
      <c r="F42" s="39"/>
      <c r="G42" s="40"/>
      <c r="H42" s="39"/>
      <c r="I42" s="40" t="n">
        <f aca="false">IF(F42="",0,F42*G42)</f>
        <v>0</v>
      </c>
      <c r="J42" s="39"/>
      <c r="K42" s="39"/>
      <c r="L42" s="39"/>
      <c r="M42" s="39"/>
      <c r="N42" s="40" t="str">
        <f aca="false">IF(AND(M42&lt;&gt;"",F42&lt;&gt;""),F42*M42,"")</f>
        <v/>
      </c>
    </row>
    <row r="43" customFormat="false" ht="15" hidden="false" customHeight="false" outlineLevel="0" collapsed="false">
      <c r="A43" s="41" t="str">
        <f aca="false">IF(B43="","",ROW()-3)</f>
        <v/>
      </c>
      <c r="B43" s="42"/>
      <c r="C43" s="43"/>
      <c r="G43" s="44"/>
      <c r="H43" s="43"/>
      <c r="I43" s="44" t="n">
        <f aca="false">IF(F43="",0,F43*G43)</f>
        <v>0</v>
      </c>
      <c r="N43" s="44" t="str">
        <f aca="false">IF(AND(M43&lt;&gt;"",F43&lt;&gt;""),F43*M43,"")</f>
        <v/>
      </c>
    </row>
    <row r="44" customFormat="false" ht="15" hidden="false" customHeight="false" outlineLevel="0" collapsed="false">
      <c r="A44" s="37" t="str">
        <f aca="false">IF(B44="","",ROW()-3)</f>
        <v/>
      </c>
      <c r="B44" s="38"/>
      <c r="C44" s="39"/>
      <c r="D44" s="39"/>
      <c r="E44" s="39"/>
      <c r="F44" s="39"/>
      <c r="G44" s="40"/>
      <c r="H44" s="39"/>
      <c r="I44" s="40" t="n">
        <f aca="false">IF(F44="",0,F44*G44)</f>
        <v>0</v>
      </c>
      <c r="J44" s="39"/>
      <c r="K44" s="39"/>
      <c r="L44" s="39"/>
      <c r="M44" s="39"/>
      <c r="N44" s="40" t="str">
        <f aca="false">IF(AND(M44&lt;&gt;"",F44&lt;&gt;""),F44*M44,"")</f>
        <v/>
      </c>
    </row>
    <row r="45" customFormat="false" ht="15" hidden="false" customHeight="false" outlineLevel="0" collapsed="false">
      <c r="A45" s="41" t="str">
        <f aca="false">IF(B45="","",ROW()-3)</f>
        <v/>
      </c>
      <c r="B45" s="42"/>
      <c r="C45" s="43"/>
      <c r="G45" s="44"/>
      <c r="H45" s="43"/>
      <c r="I45" s="44" t="n">
        <f aca="false">IF(F45="",0,F45*G45)</f>
        <v>0</v>
      </c>
      <c r="N45" s="44" t="str">
        <f aca="false">IF(AND(M45&lt;&gt;"",F45&lt;&gt;""),F45*M45,"")</f>
        <v/>
      </c>
    </row>
    <row r="46" customFormat="false" ht="15" hidden="false" customHeight="false" outlineLevel="0" collapsed="false">
      <c r="A46" s="37" t="str">
        <f aca="false">IF(B46="","",ROW()-3)</f>
        <v/>
      </c>
      <c r="B46" s="38"/>
      <c r="C46" s="39"/>
      <c r="D46" s="39"/>
      <c r="E46" s="39"/>
      <c r="F46" s="39"/>
      <c r="G46" s="40"/>
      <c r="H46" s="39"/>
      <c r="I46" s="40" t="n">
        <f aca="false">IF(F46="",0,F46*G46)</f>
        <v>0</v>
      </c>
      <c r="J46" s="39"/>
      <c r="K46" s="39"/>
      <c r="L46" s="39"/>
      <c r="M46" s="39"/>
      <c r="N46" s="40" t="str">
        <f aca="false">IF(AND(M46&lt;&gt;"",F46&lt;&gt;""),F46*M46,"")</f>
        <v/>
      </c>
    </row>
    <row r="47" customFormat="false" ht="15" hidden="false" customHeight="false" outlineLevel="0" collapsed="false">
      <c r="A47" s="41" t="str">
        <f aca="false">IF(B47="","",ROW()-3)</f>
        <v/>
      </c>
      <c r="B47" s="42"/>
      <c r="C47" s="43"/>
      <c r="G47" s="44"/>
      <c r="H47" s="43"/>
      <c r="I47" s="44" t="n">
        <f aca="false">IF(F47="",0,F47*G47)</f>
        <v>0</v>
      </c>
      <c r="N47" s="44" t="str">
        <f aca="false">IF(AND(M47&lt;&gt;"",F47&lt;&gt;""),F47*M47,"")</f>
        <v/>
      </c>
    </row>
    <row r="48" customFormat="false" ht="15" hidden="false" customHeight="false" outlineLevel="0" collapsed="false">
      <c r="A48" s="37" t="str">
        <f aca="false">IF(B48="","",ROW()-3)</f>
        <v/>
      </c>
      <c r="B48" s="38"/>
      <c r="C48" s="39"/>
      <c r="D48" s="39"/>
      <c r="E48" s="39"/>
      <c r="F48" s="39"/>
      <c r="G48" s="40"/>
      <c r="H48" s="39"/>
      <c r="I48" s="40" t="n">
        <f aca="false">IF(F48="",0,F48*G48)</f>
        <v>0</v>
      </c>
      <c r="J48" s="39"/>
      <c r="K48" s="39"/>
      <c r="L48" s="39"/>
      <c r="M48" s="39"/>
      <c r="N48" s="40" t="str">
        <f aca="false">IF(AND(M48&lt;&gt;"",F48&lt;&gt;""),F48*M48,"")</f>
        <v/>
      </c>
    </row>
    <row r="49" customFormat="false" ht="15" hidden="false" customHeight="false" outlineLevel="0" collapsed="false">
      <c r="A49" s="41" t="str">
        <f aca="false">IF(B49="","",ROW()-3)</f>
        <v/>
      </c>
      <c r="B49" s="42"/>
      <c r="C49" s="43"/>
      <c r="G49" s="44"/>
      <c r="H49" s="43"/>
      <c r="I49" s="44" t="n">
        <f aca="false">IF(F49="",0,F49*G49)</f>
        <v>0</v>
      </c>
      <c r="N49" s="44" t="str">
        <f aca="false">IF(AND(M49&lt;&gt;"",F49&lt;&gt;""),F49*M49,"")</f>
        <v/>
      </c>
    </row>
    <row r="50" customFormat="false" ht="15" hidden="false" customHeight="false" outlineLevel="0" collapsed="false">
      <c r="A50" s="37" t="str">
        <f aca="false">IF(B50="","",ROW()-3)</f>
        <v/>
      </c>
      <c r="B50" s="38"/>
      <c r="C50" s="39"/>
      <c r="D50" s="39"/>
      <c r="E50" s="39"/>
      <c r="F50" s="39"/>
      <c r="G50" s="40"/>
      <c r="H50" s="39"/>
      <c r="I50" s="40" t="n">
        <f aca="false">IF(F50="",0,F50*G50)</f>
        <v>0</v>
      </c>
      <c r="J50" s="39"/>
      <c r="K50" s="39"/>
      <c r="L50" s="39"/>
      <c r="M50" s="39"/>
      <c r="N50" s="40" t="str">
        <f aca="false">IF(AND(M50&lt;&gt;"",F50&lt;&gt;""),F50*M50,"")</f>
        <v/>
      </c>
    </row>
    <row r="51" customFormat="false" ht="15" hidden="false" customHeight="false" outlineLevel="0" collapsed="false">
      <c r="A51" s="41" t="str">
        <f aca="false">IF(B51="","",ROW()-3)</f>
        <v/>
      </c>
      <c r="B51" s="42"/>
      <c r="C51" s="43"/>
      <c r="G51" s="44"/>
      <c r="H51" s="43"/>
      <c r="I51" s="44" t="n">
        <f aca="false">IF(F51="",0,F51*G51)</f>
        <v>0</v>
      </c>
      <c r="N51" s="44" t="str">
        <f aca="false">IF(AND(M51&lt;&gt;"",F51&lt;&gt;""),F51*M51,"")</f>
        <v/>
      </c>
    </row>
    <row r="52" customFormat="false" ht="15" hidden="false" customHeight="false" outlineLevel="0" collapsed="false">
      <c r="A52" s="37" t="str">
        <f aca="false">IF(B52="","",ROW()-3)</f>
        <v/>
      </c>
      <c r="B52" s="38"/>
      <c r="C52" s="39"/>
      <c r="D52" s="39"/>
      <c r="E52" s="39"/>
      <c r="F52" s="39"/>
      <c r="G52" s="40"/>
      <c r="H52" s="39"/>
      <c r="I52" s="40" t="n">
        <f aca="false">IF(F52="",0,F52*G52)</f>
        <v>0</v>
      </c>
      <c r="J52" s="39"/>
      <c r="K52" s="39"/>
      <c r="L52" s="39"/>
      <c r="M52" s="39"/>
      <c r="N52" s="40" t="str">
        <f aca="false">IF(AND(M52&lt;&gt;"",F52&lt;&gt;""),F52*M52,"")</f>
        <v/>
      </c>
    </row>
    <row r="53" customFormat="false" ht="15" hidden="false" customHeight="false" outlineLevel="0" collapsed="false">
      <c r="A53" s="41" t="str">
        <f aca="false">IF(B53="","",ROW()-3)</f>
        <v/>
      </c>
      <c r="B53" s="42"/>
      <c r="C53" s="43"/>
      <c r="G53" s="44"/>
      <c r="H53" s="43"/>
      <c r="I53" s="44" t="n">
        <f aca="false">IF(F53="",0,F53*G53)</f>
        <v>0</v>
      </c>
      <c r="N53" s="44" t="str">
        <f aca="false">IF(AND(M53&lt;&gt;"",F53&lt;&gt;""),F53*M53,"")</f>
        <v/>
      </c>
    </row>
    <row r="54" customFormat="false" ht="15" hidden="false" customHeight="false" outlineLevel="0" collapsed="false">
      <c r="A54" s="37" t="str">
        <f aca="false">IF(B54="","",ROW()-3)</f>
        <v/>
      </c>
      <c r="B54" s="38"/>
      <c r="C54" s="39"/>
      <c r="D54" s="39"/>
      <c r="E54" s="39"/>
      <c r="F54" s="39"/>
      <c r="G54" s="40"/>
      <c r="H54" s="39"/>
      <c r="I54" s="40" t="n">
        <f aca="false">IF(F54="",0,F54*G54)</f>
        <v>0</v>
      </c>
      <c r="J54" s="39"/>
      <c r="K54" s="39"/>
      <c r="L54" s="39"/>
      <c r="M54" s="39"/>
      <c r="N54" s="40" t="str">
        <f aca="false">IF(AND(M54&lt;&gt;"",F54&lt;&gt;""),F54*M54,"")</f>
        <v/>
      </c>
    </row>
    <row r="55" customFormat="false" ht="15" hidden="false" customHeight="false" outlineLevel="0" collapsed="false">
      <c r="A55" s="41" t="str">
        <f aca="false">IF(B55="","",ROW()-3)</f>
        <v/>
      </c>
      <c r="B55" s="42"/>
      <c r="C55" s="43"/>
      <c r="G55" s="44"/>
      <c r="H55" s="43"/>
      <c r="I55" s="44" t="n">
        <f aca="false">IF(F55="",0,F55*G55)</f>
        <v>0</v>
      </c>
      <c r="N55" s="44" t="str">
        <f aca="false">IF(AND(M55&lt;&gt;"",F55&lt;&gt;""),F55*M55,"")</f>
        <v/>
      </c>
    </row>
    <row r="56" customFormat="false" ht="15" hidden="false" customHeight="false" outlineLevel="0" collapsed="false">
      <c r="A56" s="37" t="str">
        <f aca="false">IF(B56="","",ROW()-3)</f>
        <v/>
      </c>
      <c r="B56" s="38"/>
      <c r="C56" s="39"/>
      <c r="D56" s="39"/>
      <c r="E56" s="39"/>
      <c r="F56" s="39"/>
      <c r="G56" s="40"/>
      <c r="H56" s="39"/>
      <c r="I56" s="40" t="n">
        <f aca="false">IF(F56="",0,F56*G56)</f>
        <v>0</v>
      </c>
      <c r="J56" s="39"/>
      <c r="K56" s="39"/>
      <c r="L56" s="39"/>
      <c r="M56" s="39"/>
      <c r="N56" s="40" t="str">
        <f aca="false">IF(AND(M56&lt;&gt;"",F56&lt;&gt;""),F56*M56,"")</f>
        <v/>
      </c>
    </row>
    <row r="57" customFormat="false" ht="15" hidden="false" customHeight="false" outlineLevel="0" collapsed="false">
      <c r="A57" s="41" t="str">
        <f aca="false">IF(B57="","",ROW()-3)</f>
        <v/>
      </c>
      <c r="B57" s="42"/>
      <c r="C57" s="43"/>
      <c r="G57" s="44"/>
      <c r="H57" s="43"/>
      <c r="I57" s="44" t="n">
        <f aca="false">IF(F57="",0,F57*G57)</f>
        <v>0</v>
      </c>
      <c r="N57" s="44" t="str">
        <f aca="false">IF(AND(M57&lt;&gt;"",F57&lt;&gt;""),F57*M57,"")</f>
        <v/>
      </c>
    </row>
    <row r="58" customFormat="false" ht="15" hidden="false" customHeight="false" outlineLevel="0" collapsed="false">
      <c r="A58" s="37" t="str">
        <f aca="false">IF(B58="","",ROW()-3)</f>
        <v/>
      </c>
      <c r="B58" s="38"/>
      <c r="C58" s="39"/>
      <c r="D58" s="39"/>
      <c r="E58" s="39"/>
      <c r="F58" s="39"/>
      <c r="G58" s="40"/>
      <c r="H58" s="39"/>
      <c r="I58" s="40" t="n">
        <f aca="false">IF(F58="",0,F58*G58)</f>
        <v>0</v>
      </c>
      <c r="J58" s="39"/>
      <c r="K58" s="39"/>
      <c r="L58" s="39"/>
      <c r="M58" s="39"/>
      <c r="N58" s="40" t="str">
        <f aca="false">IF(AND(M58&lt;&gt;"",F58&lt;&gt;""),F58*M58,"")</f>
        <v/>
      </c>
    </row>
    <row r="59" customFormat="false" ht="15" hidden="false" customHeight="false" outlineLevel="0" collapsed="false">
      <c r="A59" s="41" t="str">
        <f aca="false">IF(B59="","",ROW()-3)</f>
        <v/>
      </c>
      <c r="B59" s="42"/>
      <c r="C59" s="43"/>
      <c r="G59" s="44"/>
      <c r="H59" s="43"/>
      <c r="I59" s="44" t="n">
        <f aca="false">IF(F59="",0,F59*G59)</f>
        <v>0</v>
      </c>
      <c r="N59" s="44" t="str">
        <f aca="false">IF(AND(M59&lt;&gt;"",F59&lt;&gt;""),F59*M59,"")</f>
        <v/>
      </c>
    </row>
    <row r="60" customFormat="false" ht="15" hidden="false" customHeight="false" outlineLevel="0" collapsed="false">
      <c r="A60" s="37" t="str">
        <f aca="false">IF(B60="","",ROW()-3)</f>
        <v/>
      </c>
      <c r="B60" s="38"/>
      <c r="C60" s="39"/>
      <c r="D60" s="39"/>
      <c r="E60" s="39"/>
      <c r="F60" s="39"/>
      <c r="G60" s="40"/>
      <c r="H60" s="39"/>
      <c r="I60" s="40" t="n">
        <f aca="false">IF(F60="",0,F60*G60)</f>
        <v>0</v>
      </c>
      <c r="J60" s="39"/>
      <c r="K60" s="39"/>
      <c r="L60" s="39"/>
      <c r="M60" s="39"/>
      <c r="N60" s="40" t="str">
        <f aca="false">IF(AND(M60&lt;&gt;"",F60&lt;&gt;""),F60*M60,"")</f>
        <v/>
      </c>
    </row>
    <row r="61" customFormat="false" ht="15" hidden="false" customHeight="false" outlineLevel="0" collapsed="false">
      <c r="A61" s="41" t="str">
        <f aca="false">IF(B61="","",ROW()-3)</f>
        <v/>
      </c>
      <c r="B61" s="42"/>
      <c r="C61" s="43"/>
      <c r="G61" s="44"/>
      <c r="H61" s="43"/>
      <c r="I61" s="44" t="n">
        <f aca="false">IF(F61="",0,F61*G61)</f>
        <v>0</v>
      </c>
      <c r="N61" s="44" t="str">
        <f aca="false">IF(AND(M61&lt;&gt;"",F61&lt;&gt;""),F61*M61,"")</f>
        <v/>
      </c>
    </row>
    <row r="62" customFormat="false" ht="15" hidden="false" customHeight="false" outlineLevel="0" collapsed="false">
      <c r="A62" s="37" t="str">
        <f aca="false">IF(B62="","",ROW()-3)</f>
        <v/>
      </c>
      <c r="B62" s="38"/>
      <c r="C62" s="39"/>
      <c r="D62" s="39"/>
      <c r="E62" s="39"/>
      <c r="F62" s="39"/>
      <c r="G62" s="40"/>
      <c r="H62" s="39"/>
      <c r="I62" s="40" t="n">
        <f aca="false">IF(F62="",0,F62*G62)</f>
        <v>0</v>
      </c>
      <c r="J62" s="39"/>
      <c r="K62" s="39"/>
      <c r="L62" s="39"/>
      <c r="M62" s="39"/>
      <c r="N62" s="40" t="str">
        <f aca="false">IF(AND(M62&lt;&gt;"",F62&lt;&gt;""),F62*M62,"")</f>
        <v/>
      </c>
    </row>
    <row r="63" customFormat="false" ht="15" hidden="false" customHeight="false" outlineLevel="0" collapsed="false">
      <c r="A63" s="41" t="str">
        <f aca="false">IF(B63="","",ROW()-3)</f>
        <v/>
      </c>
      <c r="B63" s="42"/>
      <c r="C63" s="43"/>
      <c r="G63" s="44"/>
      <c r="H63" s="43"/>
      <c r="I63" s="44" t="n">
        <f aca="false">IF(F63="",0,F63*G63)</f>
        <v>0</v>
      </c>
      <c r="N63" s="44" t="str">
        <f aca="false">IF(AND(M63&lt;&gt;"",F63&lt;&gt;""),F63*M63,"")</f>
        <v/>
      </c>
    </row>
    <row r="64" customFormat="false" ht="15" hidden="false" customHeight="false" outlineLevel="0" collapsed="false">
      <c r="A64" s="37" t="str">
        <f aca="false">IF(B64="","",ROW()-3)</f>
        <v/>
      </c>
      <c r="B64" s="38"/>
      <c r="C64" s="39"/>
      <c r="D64" s="39"/>
      <c r="E64" s="39"/>
      <c r="F64" s="39"/>
      <c r="G64" s="40"/>
      <c r="H64" s="39"/>
      <c r="I64" s="40" t="n">
        <f aca="false">IF(F64="",0,F64*G64)</f>
        <v>0</v>
      </c>
      <c r="J64" s="39"/>
      <c r="K64" s="39"/>
      <c r="L64" s="39"/>
      <c r="M64" s="39"/>
      <c r="N64" s="40" t="str">
        <f aca="false">IF(AND(M64&lt;&gt;"",F64&lt;&gt;""),F64*M64,"")</f>
        <v/>
      </c>
    </row>
    <row r="65" customFormat="false" ht="15" hidden="false" customHeight="false" outlineLevel="0" collapsed="false">
      <c r="A65" s="41" t="str">
        <f aca="false">IF(B65="","",ROW()-3)</f>
        <v/>
      </c>
      <c r="B65" s="42"/>
      <c r="C65" s="43"/>
      <c r="G65" s="44"/>
      <c r="H65" s="43"/>
      <c r="I65" s="44" t="n">
        <f aca="false">IF(F65="",0,F65*G65)</f>
        <v>0</v>
      </c>
      <c r="N65" s="44" t="str">
        <f aca="false">IF(AND(M65&lt;&gt;"",F65&lt;&gt;""),F65*M65,"")</f>
        <v/>
      </c>
    </row>
    <row r="66" customFormat="false" ht="15" hidden="false" customHeight="false" outlineLevel="0" collapsed="false">
      <c r="A66" s="37" t="str">
        <f aca="false">IF(B66="","",ROW()-3)</f>
        <v/>
      </c>
      <c r="B66" s="38"/>
      <c r="C66" s="39"/>
      <c r="D66" s="39"/>
      <c r="E66" s="39"/>
      <c r="F66" s="39"/>
      <c r="G66" s="40"/>
      <c r="H66" s="39"/>
      <c r="I66" s="40" t="n">
        <f aca="false">IF(F66="",0,F66*G66)</f>
        <v>0</v>
      </c>
      <c r="J66" s="39"/>
      <c r="K66" s="39"/>
      <c r="L66" s="39"/>
      <c r="M66" s="39"/>
      <c r="N66" s="40" t="str">
        <f aca="false">IF(AND(M66&lt;&gt;"",F66&lt;&gt;""),F66*M66,"")</f>
        <v/>
      </c>
    </row>
    <row r="67" customFormat="false" ht="15" hidden="false" customHeight="false" outlineLevel="0" collapsed="false">
      <c r="A67" s="41" t="str">
        <f aca="false">IF(B67="","",ROW()-3)</f>
        <v/>
      </c>
      <c r="B67" s="42"/>
      <c r="C67" s="43"/>
      <c r="G67" s="44"/>
      <c r="H67" s="43"/>
      <c r="I67" s="44" t="n">
        <f aca="false">IF(F67="",0,F67*G67)</f>
        <v>0</v>
      </c>
      <c r="N67" s="44" t="str">
        <f aca="false">IF(AND(M67&lt;&gt;"",F67&lt;&gt;""),F67*M67,"")</f>
        <v/>
      </c>
    </row>
    <row r="68" customFormat="false" ht="15" hidden="false" customHeight="false" outlineLevel="0" collapsed="false">
      <c r="A68" s="37" t="str">
        <f aca="false">IF(B68="","",ROW()-3)</f>
        <v/>
      </c>
      <c r="B68" s="38"/>
      <c r="C68" s="39"/>
      <c r="D68" s="39"/>
      <c r="E68" s="39"/>
      <c r="F68" s="39"/>
      <c r="G68" s="40"/>
      <c r="H68" s="39"/>
      <c r="I68" s="40" t="n">
        <f aca="false">IF(F68="",0,F68*G68)</f>
        <v>0</v>
      </c>
      <c r="J68" s="39"/>
      <c r="K68" s="39"/>
      <c r="L68" s="39"/>
      <c r="M68" s="39"/>
      <c r="N68" s="40" t="str">
        <f aca="false">IF(AND(M68&lt;&gt;"",F68&lt;&gt;""),F68*M68,"")</f>
        <v/>
      </c>
    </row>
    <row r="69" customFormat="false" ht="15" hidden="false" customHeight="false" outlineLevel="0" collapsed="false">
      <c r="A69" s="41" t="str">
        <f aca="false">IF(B69="","",ROW()-3)</f>
        <v/>
      </c>
      <c r="B69" s="42"/>
      <c r="C69" s="43"/>
      <c r="G69" s="44"/>
      <c r="H69" s="43"/>
      <c r="I69" s="44" t="n">
        <f aca="false">IF(F69="",0,F69*G69)</f>
        <v>0</v>
      </c>
      <c r="N69" s="44" t="str">
        <f aca="false">IF(AND(M69&lt;&gt;"",F69&lt;&gt;""),F69*M69,"")</f>
        <v/>
      </c>
    </row>
    <row r="70" customFormat="false" ht="15" hidden="false" customHeight="false" outlineLevel="0" collapsed="false">
      <c r="A70" s="37" t="str">
        <f aca="false">IF(B70="","",ROW()-3)</f>
        <v/>
      </c>
      <c r="B70" s="38"/>
      <c r="C70" s="39"/>
      <c r="D70" s="39"/>
      <c r="E70" s="39"/>
      <c r="F70" s="39"/>
      <c r="G70" s="40"/>
      <c r="H70" s="39"/>
      <c r="I70" s="40" t="n">
        <f aca="false">IF(F70="",0,F70*G70)</f>
        <v>0</v>
      </c>
      <c r="J70" s="39"/>
      <c r="K70" s="39"/>
      <c r="L70" s="39"/>
      <c r="M70" s="39"/>
      <c r="N70" s="40" t="str">
        <f aca="false">IF(AND(M70&lt;&gt;"",F70&lt;&gt;""),F70*M70,"")</f>
        <v/>
      </c>
    </row>
    <row r="71" customFormat="false" ht="15" hidden="false" customHeight="false" outlineLevel="0" collapsed="false">
      <c r="A71" s="41" t="str">
        <f aca="false">IF(B71="","",ROW()-3)</f>
        <v/>
      </c>
      <c r="B71" s="42"/>
      <c r="C71" s="43"/>
      <c r="G71" s="44"/>
      <c r="H71" s="43"/>
      <c r="I71" s="44" t="n">
        <f aca="false">IF(F71="",0,F71*G71)</f>
        <v>0</v>
      </c>
      <c r="N71" s="44" t="str">
        <f aca="false">IF(AND(M71&lt;&gt;"",F71&lt;&gt;""),F71*M71,"")</f>
        <v/>
      </c>
    </row>
    <row r="72" customFormat="false" ht="15" hidden="false" customHeight="false" outlineLevel="0" collapsed="false">
      <c r="A72" s="37" t="str">
        <f aca="false">IF(B72="","",ROW()-3)</f>
        <v/>
      </c>
      <c r="B72" s="38"/>
      <c r="C72" s="39"/>
      <c r="D72" s="39"/>
      <c r="E72" s="39"/>
      <c r="F72" s="39"/>
      <c r="G72" s="40"/>
      <c r="H72" s="39"/>
      <c r="I72" s="40" t="n">
        <f aca="false">IF(F72="",0,F72*G72)</f>
        <v>0</v>
      </c>
      <c r="J72" s="39"/>
      <c r="K72" s="39"/>
      <c r="L72" s="39"/>
      <c r="M72" s="39"/>
      <c r="N72" s="40" t="str">
        <f aca="false">IF(AND(M72&lt;&gt;"",F72&lt;&gt;""),F72*M72,"")</f>
        <v/>
      </c>
    </row>
    <row r="73" customFormat="false" ht="15" hidden="false" customHeight="false" outlineLevel="0" collapsed="false">
      <c r="A73" s="41" t="str">
        <f aca="false">IF(B73="","",ROW()-3)</f>
        <v/>
      </c>
      <c r="B73" s="42"/>
      <c r="C73" s="43"/>
      <c r="G73" s="44"/>
      <c r="H73" s="43"/>
      <c r="I73" s="44" t="n">
        <f aca="false">IF(F73="",0,F73*G73)</f>
        <v>0</v>
      </c>
      <c r="N73" s="44" t="str">
        <f aca="false">IF(AND(M73&lt;&gt;"",F73&lt;&gt;""),F73*M73,"")</f>
        <v/>
      </c>
    </row>
    <row r="74" customFormat="false" ht="15" hidden="false" customHeight="false" outlineLevel="0" collapsed="false">
      <c r="A74" s="37" t="str">
        <f aca="false">IF(B74="","",ROW()-3)</f>
        <v/>
      </c>
      <c r="B74" s="38"/>
      <c r="C74" s="39"/>
      <c r="D74" s="39"/>
      <c r="E74" s="39"/>
      <c r="F74" s="39"/>
      <c r="G74" s="40"/>
      <c r="H74" s="39"/>
      <c r="I74" s="40" t="n">
        <f aca="false">IF(F74="",0,F74*G74)</f>
        <v>0</v>
      </c>
      <c r="J74" s="39"/>
      <c r="K74" s="39"/>
      <c r="L74" s="39"/>
      <c r="M74" s="39"/>
      <c r="N74" s="40" t="str">
        <f aca="false">IF(AND(M74&lt;&gt;"",F74&lt;&gt;""),F74*M74,"")</f>
        <v/>
      </c>
    </row>
    <row r="75" customFormat="false" ht="15" hidden="false" customHeight="false" outlineLevel="0" collapsed="false">
      <c r="A75" s="41" t="str">
        <f aca="false">IF(B75="","",ROW()-3)</f>
        <v/>
      </c>
      <c r="B75" s="42"/>
      <c r="C75" s="43"/>
      <c r="G75" s="44"/>
      <c r="H75" s="43"/>
      <c r="I75" s="44" t="n">
        <f aca="false">IF(F75="",0,F75*G75)</f>
        <v>0</v>
      </c>
      <c r="N75" s="44" t="str">
        <f aca="false">IF(AND(M75&lt;&gt;"",F75&lt;&gt;""),F75*M75,"")</f>
        <v/>
      </c>
    </row>
    <row r="76" customFormat="false" ht="15" hidden="false" customHeight="false" outlineLevel="0" collapsed="false">
      <c r="A76" s="37" t="str">
        <f aca="false">IF(B76="","",ROW()-3)</f>
        <v/>
      </c>
      <c r="B76" s="38"/>
      <c r="C76" s="39"/>
      <c r="D76" s="39"/>
      <c r="E76" s="39"/>
      <c r="F76" s="39"/>
      <c r="G76" s="40"/>
      <c r="H76" s="39"/>
      <c r="I76" s="40" t="n">
        <f aca="false">IF(F76="",0,F76*G76)</f>
        <v>0</v>
      </c>
      <c r="J76" s="39"/>
      <c r="K76" s="39"/>
      <c r="L76" s="39"/>
      <c r="M76" s="39"/>
      <c r="N76" s="40" t="str">
        <f aca="false">IF(AND(M76&lt;&gt;"",F76&lt;&gt;""),F76*M76,"")</f>
        <v/>
      </c>
    </row>
    <row r="77" customFormat="false" ht="15" hidden="false" customHeight="false" outlineLevel="0" collapsed="false">
      <c r="A77" s="41" t="str">
        <f aca="false">IF(B77="","",ROW()-3)</f>
        <v/>
      </c>
      <c r="B77" s="42"/>
      <c r="C77" s="43"/>
      <c r="G77" s="44"/>
      <c r="H77" s="43"/>
      <c r="I77" s="44" t="n">
        <f aca="false">IF(F77="",0,F77*G77)</f>
        <v>0</v>
      </c>
      <c r="N77" s="44" t="str">
        <f aca="false">IF(AND(M77&lt;&gt;"",F77&lt;&gt;""),F77*M77,"")</f>
        <v/>
      </c>
    </row>
    <row r="78" customFormat="false" ht="15" hidden="false" customHeight="false" outlineLevel="0" collapsed="false">
      <c r="A78" s="37" t="str">
        <f aca="false">IF(B78="","",ROW()-3)</f>
        <v/>
      </c>
      <c r="B78" s="38"/>
      <c r="C78" s="39"/>
      <c r="D78" s="39"/>
      <c r="E78" s="39"/>
      <c r="F78" s="39"/>
      <c r="G78" s="40"/>
      <c r="H78" s="39"/>
      <c r="I78" s="40" t="n">
        <f aca="false">IF(F78="",0,F78*G78)</f>
        <v>0</v>
      </c>
      <c r="J78" s="39"/>
      <c r="K78" s="39"/>
      <c r="L78" s="39"/>
      <c r="M78" s="39"/>
      <c r="N78" s="40" t="str">
        <f aca="false">IF(AND(M78&lt;&gt;"",F78&lt;&gt;""),F78*M78,"")</f>
        <v/>
      </c>
    </row>
    <row r="79" customFormat="false" ht="15" hidden="false" customHeight="false" outlineLevel="0" collapsed="false">
      <c r="A79" s="41" t="str">
        <f aca="false">IF(B79="","",ROW()-3)</f>
        <v/>
      </c>
      <c r="B79" s="42"/>
      <c r="C79" s="43"/>
      <c r="G79" s="44"/>
      <c r="H79" s="43"/>
      <c r="I79" s="44" t="n">
        <f aca="false">IF(F79="",0,F79*G79)</f>
        <v>0</v>
      </c>
      <c r="N79" s="44" t="str">
        <f aca="false">IF(AND(M79&lt;&gt;"",F79&lt;&gt;""),F79*M79,"")</f>
        <v/>
      </c>
    </row>
    <row r="80" customFormat="false" ht="15" hidden="false" customHeight="false" outlineLevel="0" collapsed="false">
      <c r="A80" s="37" t="str">
        <f aca="false">IF(B80="","",ROW()-3)</f>
        <v/>
      </c>
      <c r="B80" s="38"/>
      <c r="C80" s="39"/>
      <c r="D80" s="39"/>
      <c r="E80" s="39"/>
      <c r="F80" s="39"/>
      <c r="G80" s="40"/>
      <c r="H80" s="39"/>
      <c r="I80" s="40" t="n">
        <f aca="false">IF(F80="",0,F80*G80)</f>
        <v>0</v>
      </c>
      <c r="J80" s="39"/>
      <c r="K80" s="39"/>
      <c r="L80" s="39"/>
      <c r="M80" s="39"/>
      <c r="N80" s="40" t="str">
        <f aca="false">IF(AND(M80&lt;&gt;"",F80&lt;&gt;""),F80*M80,"")</f>
        <v/>
      </c>
    </row>
    <row r="81" customFormat="false" ht="15" hidden="false" customHeight="false" outlineLevel="0" collapsed="false">
      <c r="A81" s="41" t="str">
        <f aca="false">IF(B81="","",ROW()-3)</f>
        <v/>
      </c>
      <c r="B81" s="42"/>
      <c r="C81" s="43"/>
      <c r="G81" s="44"/>
      <c r="H81" s="43"/>
      <c r="I81" s="44" t="n">
        <f aca="false">IF(F81="",0,F81*G81)</f>
        <v>0</v>
      </c>
      <c r="N81" s="44" t="str">
        <f aca="false">IF(AND(M81&lt;&gt;"",F81&lt;&gt;""),F81*M81,"")</f>
        <v/>
      </c>
    </row>
    <row r="82" customFormat="false" ht="15" hidden="false" customHeight="false" outlineLevel="0" collapsed="false">
      <c r="A82" s="37" t="str">
        <f aca="false">IF(B82="","",ROW()-3)</f>
        <v/>
      </c>
      <c r="B82" s="38"/>
      <c r="C82" s="39"/>
      <c r="D82" s="39"/>
      <c r="E82" s="39"/>
      <c r="F82" s="39"/>
      <c r="G82" s="40"/>
      <c r="H82" s="39"/>
      <c r="I82" s="40" t="n">
        <f aca="false">IF(F82="",0,F82*G82)</f>
        <v>0</v>
      </c>
      <c r="J82" s="39"/>
      <c r="K82" s="39"/>
      <c r="L82" s="39"/>
      <c r="M82" s="39"/>
      <c r="N82" s="40" t="str">
        <f aca="false">IF(AND(M82&lt;&gt;"",F82&lt;&gt;""),F82*M82,"")</f>
        <v/>
      </c>
    </row>
    <row r="83" customFormat="false" ht="15" hidden="false" customHeight="false" outlineLevel="0" collapsed="false">
      <c r="A83" s="41" t="str">
        <f aca="false">IF(B83="","",ROW()-3)</f>
        <v/>
      </c>
      <c r="B83" s="42"/>
      <c r="C83" s="43"/>
      <c r="G83" s="44"/>
      <c r="H83" s="43"/>
      <c r="I83" s="44" t="n">
        <f aca="false">IF(F83="",0,F83*G83)</f>
        <v>0</v>
      </c>
      <c r="N83" s="44" t="str">
        <f aca="false">IF(AND(M83&lt;&gt;"",F83&lt;&gt;""),F83*M83,"")</f>
        <v/>
      </c>
    </row>
    <row r="84" customFormat="false" ht="15" hidden="false" customHeight="false" outlineLevel="0" collapsed="false">
      <c r="A84" s="37" t="str">
        <f aca="false">IF(B84="","",ROW()-3)</f>
        <v/>
      </c>
      <c r="B84" s="38"/>
      <c r="C84" s="39"/>
      <c r="D84" s="39"/>
      <c r="E84" s="39"/>
      <c r="F84" s="39"/>
      <c r="G84" s="40"/>
      <c r="H84" s="39"/>
      <c r="I84" s="40" t="n">
        <f aca="false">IF(F84="",0,F84*G84)</f>
        <v>0</v>
      </c>
      <c r="J84" s="39"/>
      <c r="K84" s="39"/>
      <c r="L84" s="39"/>
      <c r="M84" s="39"/>
      <c r="N84" s="40" t="str">
        <f aca="false">IF(AND(M84&lt;&gt;"",F84&lt;&gt;""),F84*M84,"")</f>
        <v/>
      </c>
    </row>
    <row r="85" customFormat="false" ht="15" hidden="false" customHeight="false" outlineLevel="0" collapsed="false">
      <c r="A85" s="41" t="str">
        <f aca="false">IF(B85="","",ROW()-3)</f>
        <v/>
      </c>
      <c r="B85" s="42"/>
      <c r="C85" s="43"/>
      <c r="G85" s="44"/>
      <c r="H85" s="43"/>
      <c r="I85" s="44" t="n">
        <f aca="false">IF(F85="",0,F85*G85)</f>
        <v>0</v>
      </c>
      <c r="N85" s="44" t="str">
        <f aca="false">IF(AND(M85&lt;&gt;"",F85&lt;&gt;""),F85*M85,"")</f>
        <v/>
      </c>
    </row>
    <row r="86" customFormat="false" ht="15" hidden="false" customHeight="false" outlineLevel="0" collapsed="false">
      <c r="A86" s="37" t="str">
        <f aca="false">IF(B86="","",ROW()-3)</f>
        <v/>
      </c>
      <c r="B86" s="38"/>
      <c r="C86" s="39"/>
      <c r="D86" s="39"/>
      <c r="E86" s="39"/>
      <c r="F86" s="39"/>
      <c r="G86" s="40"/>
      <c r="H86" s="39"/>
      <c r="I86" s="40" t="n">
        <f aca="false">IF(F86="",0,F86*G86)</f>
        <v>0</v>
      </c>
      <c r="J86" s="39"/>
      <c r="K86" s="39"/>
      <c r="L86" s="39"/>
      <c r="M86" s="39"/>
      <c r="N86" s="40" t="str">
        <f aca="false">IF(AND(M86&lt;&gt;"",F86&lt;&gt;""),F86*M86,"")</f>
        <v/>
      </c>
    </row>
    <row r="87" customFormat="false" ht="15" hidden="false" customHeight="false" outlineLevel="0" collapsed="false">
      <c r="A87" s="41" t="str">
        <f aca="false">IF(B87="","",ROW()-3)</f>
        <v/>
      </c>
      <c r="B87" s="42"/>
      <c r="C87" s="43"/>
      <c r="G87" s="44"/>
      <c r="H87" s="43"/>
      <c r="I87" s="44" t="n">
        <f aca="false">IF(F87="",0,F87*G87)</f>
        <v>0</v>
      </c>
      <c r="N87" s="44" t="str">
        <f aca="false">IF(AND(M87&lt;&gt;"",F87&lt;&gt;""),F87*M87,"")</f>
        <v/>
      </c>
    </row>
    <row r="88" customFormat="false" ht="15" hidden="false" customHeight="false" outlineLevel="0" collapsed="false">
      <c r="A88" s="37" t="str">
        <f aca="false">IF(B88="","",ROW()-3)</f>
        <v/>
      </c>
      <c r="B88" s="38"/>
      <c r="C88" s="39"/>
      <c r="D88" s="39"/>
      <c r="E88" s="39"/>
      <c r="F88" s="39"/>
      <c r="G88" s="40"/>
      <c r="H88" s="39"/>
      <c r="I88" s="40" t="n">
        <f aca="false">IF(F88="",0,F88*G88)</f>
        <v>0</v>
      </c>
      <c r="J88" s="39"/>
      <c r="K88" s="39"/>
      <c r="L88" s="39"/>
      <c r="M88" s="39"/>
      <c r="N88" s="40" t="str">
        <f aca="false">IF(AND(M88&lt;&gt;"",F88&lt;&gt;""),F88*M88,"")</f>
        <v/>
      </c>
    </row>
    <row r="89" customFormat="false" ht="15" hidden="false" customHeight="false" outlineLevel="0" collapsed="false">
      <c r="A89" s="41" t="str">
        <f aca="false">IF(B89="","",ROW()-3)</f>
        <v/>
      </c>
      <c r="B89" s="42"/>
      <c r="C89" s="43"/>
      <c r="G89" s="44"/>
      <c r="H89" s="43"/>
      <c r="I89" s="44" t="n">
        <f aca="false">IF(F89="",0,F89*G89)</f>
        <v>0</v>
      </c>
      <c r="N89" s="44" t="str">
        <f aca="false">IF(AND(M89&lt;&gt;"",F89&lt;&gt;""),F89*M89,"")</f>
        <v/>
      </c>
    </row>
    <row r="90" customFormat="false" ht="15" hidden="false" customHeight="false" outlineLevel="0" collapsed="false">
      <c r="A90" s="37" t="str">
        <f aca="false">IF(B90="","",ROW()-3)</f>
        <v/>
      </c>
      <c r="B90" s="38"/>
      <c r="C90" s="39"/>
      <c r="D90" s="39"/>
      <c r="E90" s="39"/>
      <c r="F90" s="39"/>
      <c r="G90" s="40"/>
      <c r="H90" s="39"/>
      <c r="I90" s="40" t="n">
        <f aca="false">IF(F90="",0,F90*G90)</f>
        <v>0</v>
      </c>
      <c r="J90" s="39"/>
      <c r="K90" s="39"/>
      <c r="L90" s="39"/>
      <c r="M90" s="39"/>
      <c r="N90" s="40" t="str">
        <f aca="false">IF(AND(M90&lt;&gt;"",F90&lt;&gt;""),F90*M90,"")</f>
        <v/>
      </c>
    </row>
    <row r="91" customFormat="false" ht="15" hidden="false" customHeight="false" outlineLevel="0" collapsed="false">
      <c r="A91" s="41" t="str">
        <f aca="false">IF(B91="","",ROW()-3)</f>
        <v/>
      </c>
      <c r="B91" s="42"/>
      <c r="C91" s="43"/>
      <c r="G91" s="44"/>
      <c r="H91" s="43"/>
      <c r="I91" s="44" t="n">
        <f aca="false">IF(F91="",0,F91*G91)</f>
        <v>0</v>
      </c>
      <c r="N91" s="44" t="str">
        <f aca="false">IF(AND(M91&lt;&gt;"",F91&lt;&gt;""),F91*M91,"")</f>
        <v/>
      </c>
    </row>
    <row r="92" customFormat="false" ht="15" hidden="false" customHeight="false" outlineLevel="0" collapsed="false">
      <c r="A92" s="37" t="str">
        <f aca="false">IF(B92="","",ROW()-3)</f>
        <v/>
      </c>
      <c r="B92" s="38"/>
      <c r="C92" s="39"/>
      <c r="D92" s="39"/>
      <c r="E92" s="39"/>
      <c r="F92" s="39"/>
      <c r="G92" s="40"/>
      <c r="H92" s="39"/>
      <c r="I92" s="40" t="n">
        <f aca="false">IF(F92="",0,F92*G92)</f>
        <v>0</v>
      </c>
      <c r="J92" s="39"/>
      <c r="K92" s="39"/>
      <c r="L92" s="39"/>
      <c r="M92" s="39"/>
      <c r="N92" s="40" t="str">
        <f aca="false">IF(AND(M92&lt;&gt;"",F92&lt;&gt;""),F92*M92,"")</f>
        <v/>
      </c>
    </row>
    <row r="93" customFormat="false" ht="15" hidden="false" customHeight="false" outlineLevel="0" collapsed="false">
      <c r="A93" s="41" t="str">
        <f aca="false">IF(B93="","",ROW()-3)</f>
        <v/>
      </c>
      <c r="B93" s="42"/>
      <c r="C93" s="43"/>
      <c r="G93" s="44"/>
      <c r="H93" s="43"/>
      <c r="I93" s="44" t="n">
        <f aca="false">IF(F93="",0,F93*G93)</f>
        <v>0</v>
      </c>
      <c r="N93" s="44" t="str">
        <f aca="false">IF(AND(M93&lt;&gt;"",F93&lt;&gt;""),F93*M93,"")</f>
        <v/>
      </c>
    </row>
    <row r="94" customFormat="false" ht="15" hidden="false" customHeight="false" outlineLevel="0" collapsed="false">
      <c r="A94" s="37" t="str">
        <f aca="false">IF(B94="","",ROW()-3)</f>
        <v/>
      </c>
      <c r="B94" s="38"/>
      <c r="C94" s="39"/>
      <c r="D94" s="39"/>
      <c r="E94" s="39"/>
      <c r="F94" s="39"/>
      <c r="G94" s="40"/>
      <c r="H94" s="39"/>
      <c r="I94" s="40" t="n">
        <f aca="false">IF(F94="",0,F94*G94)</f>
        <v>0</v>
      </c>
      <c r="J94" s="39"/>
      <c r="K94" s="39"/>
      <c r="L94" s="39"/>
      <c r="M94" s="39"/>
      <c r="N94" s="40" t="str">
        <f aca="false">IF(AND(M94&lt;&gt;"",F94&lt;&gt;""),F94*M94,"")</f>
        <v/>
      </c>
    </row>
    <row r="95" customFormat="false" ht="15" hidden="false" customHeight="false" outlineLevel="0" collapsed="false">
      <c r="A95" s="41" t="str">
        <f aca="false">IF(B95="","",ROW()-3)</f>
        <v/>
      </c>
      <c r="B95" s="42"/>
      <c r="C95" s="43"/>
      <c r="G95" s="44"/>
      <c r="H95" s="43"/>
      <c r="I95" s="44" t="n">
        <f aca="false">IF(F95="",0,F95*G95)</f>
        <v>0</v>
      </c>
      <c r="N95" s="44" t="str">
        <f aca="false">IF(AND(M95&lt;&gt;"",F95&lt;&gt;""),F95*M95,"")</f>
        <v/>
      </c>
    </row>
    <row r="96" customFormat="false" ht="15" hidden="false" customHeight="false" outlineLevel="0" collapsed="false">
      <c r="A96" s="37" t="str">
        <f aca="false">IF(B96="","",ROW()-3)</f>
        <v/>
      </c>
      <c r="B96" s="38"/>
      <c r="C96" s="39"/>
      <c r="D96" s="39"/>
      <c r="E96" s="39"/>
      <c r="F96" s="39"/>
      <c r="G96" s="40"/>
      <c r="H96" s="39"/>
      <c r="I96" s="40" t="n">
        <f aca="false">IF(F96="",0,F96*G96)</f>
        <v>0</v>
      </c>
      <c r="J96" s="39"/>
      <c r="K96" s="39"/>
      <c r="L96" s="39"/>
      <c r="M96" s="39"/>
      <c r="N96" s="40" t="str">
        <f aca="false">IF(AND(M96&lt;&gt;"",F96&lt;&gt;""),F96*M96,"")</f>
        <v/>
      </c>
    </row>
    <row r="97" customFormat="false" ht="15" hidden="false" customHeight="false" outlineLevel="0" collapsed="false">
      <c r="A97" s="41" t="str">
        <f aca="false">IF(B97="","",ROW()-3)</f>
        <v/>
      </c>
      <c r="B97" s="42"/>
      <c r="C97" s="43"/>
      <c r="G97" s="44"/>
      <c r="H97" s="43"/>
      <c r="I97" s="44" t="n">
        <f aca="false">IF(F97="",0,F97*G97)</f>
        <v>0</v>
      </c>
      <c r="N97" s="44" t="str">
        <f aca="false">IF(AND(M97&lt;&gt;"",F97&lt;&gt;""),F97*M97,"")</f>
        <v/>
      </c>
    </row>
    <row r="98" customFormat="false" ht="15" hidden="false" customHeight="false" outlineLevel="0" collapsed="false">
      <c r="A98" s="37" t="str">
        <f aca="false">IF(B98="","",ROW()-3)</f>
        <v/>
      </c>
      <c r="B98" s="38"/>
      <c r="C98" s="39"/>
      <c r="D98" s="39"/>
      <c r="E98" s="39"/>
      <c r="F98" s="39"/>
      <c r="G98" s="40"/>
      <c r="H98" s="39"/>
      <c r="I98" s="40" t="n">
        <f aca="false">IF(F98="",0,F98*G98)</f>
        <v>0</v>
      </c>
      <c r="J98" s="39"/>
      <c r="K98" s="39"/>
      <c r="L98" s="39"/>
      <c r="M98" s="39"/>
      <c r="N98" s="40" t="str">
        <f aca="false">IF(AND(M98&lt;&gt;"",F98&lt;&gt;""),F98*M98,"")</f>
        <v/>
      </c>
    </row>
    <row r="99" customFormat="false" ht="15" hidden="false" customHeight="false" outlineLevel="0" collapsed="false">
      <c r="A99" s="41" t="str">
        <f aca="false">IF(B99="","",ROW()-3)</f>
        <v/>
      </c>
      <c r="B99" s="42"/>
      <c r="C99" s="43"/>
      <c r="G99" s="44"/>
      <c r="H99" s="43"/>
      <c r="I99" s="44" t="n">
        <f aca="false">IF(F99="",0,F99*G99)</f>
        <v>0</v>
      </c>
      <c r="N99" s="44" t="str">
        <f aca="false">IF(AND(M99&lt;&gt;"",F99&lt;&gt;""),F99*M99,"")</f>
        <v/>
      </c>
    </row>
    <row r="100" customFormat="false" ht="15" hidden="false" customHeight="false" outlineLevel="0" collapsed="false">
      <c r="A100" s="37" t="str">
        <f aca="false">IF(B100="","",ROW()-3)</f>
        <v/>
      </c>
      <c r="B100" s="38"/>
      <c r="C100" s="39"/>
      <c r="D100" s="39"/>
      <c r="E100" s="39"/>
      <c r="F100" s="39"/>
      <c r="G100" s="40"/>
      <c r="H100" s="39"/>
      <c r="I100" s="40" t="n">
        <f aca="false">IF(F100="",0,F100*G100)</f>
        <v>0</v>
      </c>
      <c r="J100" s="39"/>
      <c r="K100" s="39"/>
      <c r="L100" s="39"/>
      <c r="M100" s="39"/>
      <c r="N100" s="40" t="str">
        <f aca="false">IF(AND(M100&lt;&gt;"",F100&lt;&gt;""),F100*M100,"")</f>
        <v/>
      </c>
    </row>
    <row r="101" customFormat="false" ht="15" hidden="false" customHeight="false" outlineLevel="0" collapsed="false">
      <c r="A101" s="41" t="str">
        <f aca="false">IF(B101="","",ROW()-3)</f>
        <v/>
      </c>
      <c r="B101" s="42"/>
      <c r="C101" s="43"/>
      <c r="G101" s="44"/>
      <c r="H101" s="43"/>
      <c r="I101" s="44" t="n">
        <f aca="false">IF(F101="",0,F101*G101)</f>
        <v>0</v>
      </c>
      <c r="N101" s="44" t="str">
        <f aca="false">IF(AND(M101&lt;&gt;"",F101&lt;&gt;""),F101*M101,"")</f>
        <v/>
      </c>
    </row>
    <row r="102" customFormat="false" ht="15" hidden="false" customHeight="false" outlineLevel="0" collapsed="false">
      <c r="A102" s="37" t="str">
        <f aca="false">IF(B102="","",ROW()-3)</f>
        <v/>
      </c>
      <c r="B102" s="38"/>
      <c r="C102" s="39"/>
      <c r="D102" s="39"/>
      <c r="E102" s="39"/>
      <c r="F102" s="39"/>
      <c r="G102" s="40"/>
      <c r="H102" s="39"/>
      <c r="I102" s="40" t="n">
        <f aca="false">IF(F102="",0,F102*G102)</f>
        <v>0</v>
      </c>
      <c r="J102" s="39"/>
      <c r="K102" s="39"/>
      <c r="L102" s="39"/>
      <c r="M102" s="39"/>
      <c r="N102" s="40" t="str">
        <f aca="false">IF(AND(M102&lt;&gt;"",F102&lt;&gt;""),F102*M102,"")</f>
        <v/>
      </c>
    </row>
    <row r="103" customFormat="false" ht="15" hidden="false" customHeight="false" outlineLevel="0" collapsed="false">
      <c r="A103" s="41" t="str">
        <f aca="false">IF(B103="","",ROW()-3)</f>
        <v/>
      </c>
      <c r="B103" s="42"/>
      <c r="C103" s="43"/>
      <c r="G103" s="44"/>
      <c r="H103" s="43"/>
      <c r="I103" s="44" t="n">
        <f aca="false">IF(F103="",0,F103*G103)</f>
        <v>0</v>
      </c>
      <c r="N103" s="44" t="str">
        <f aca="false">IF(AND(M103&lt;&gt;"",F103&lt;&gt;""),F103*M103,"")</f>
        <v/>
      </c>
    </row>
    <row r="104" customFormat="false" ht="15" hidden="false" customHeight="false" outlineLevel="0" collapsed="false">
      <c r="A104" s="37" t="str">
        <f aca="false">IF(B104="","",ROW()-3)</f>
        <v/>
      </c>
      <c r="B104" s="38"/>
      <c r="C104" s="39"/>
      <c r="D104" s="39"/>
      <c r="E104" s="39"/>
      <c r="F104" s="39"/>
      <c r="G104" s="40"/>
      <c r="H104" s="39"/>
      <c r="I104" s="40" t="n">
        <f aca="false">IF(F104="",0,F104*G104)</f>
        <v>0</v>
      </c>
      <c r="J104" s="39"/>
      <c r="K104" s="39"/>
      <c r="L104" s="39"/>
      <c r="M104" s="39"/>
      <c r="N104" s="40" t="str">
        <f aca="false">IF(AND(M104&lt;&gt;"",F104&lt;&gt;""),F104*M104,"")</f>
        <v/>
      </c>
    </row>
    <row r="105" customFormat="false" ht="15" hidden="false" customHeight="false" outlineLevel="0" collapsed="false">
      <c r="A105" s="41" t="str">
        <f aca="false">IF(B105="","",ROW()-3)</f>
        <v/>
      </c>
      <c r="B105" s="42"/>
      <c r="C105" s="43"/>
      <c r="G105" s="44"/>
      <c r="H105" s="43"/>
      <c r="I105" s="44" t="n">
        <f aca="false">IF(F105="",0,F105*G105)</f>
        <v>0</v>
      </c>
      <c r="N105" s="44" t="str">
        <f aca="false">IF(AND(M105&lt;&gt;"",F105&lt;&gt;""),F105*M105,"")</f>
        <v/>
      </c>
    </row>
    <row r="106" customFormat="false" ht="15" hidden="false" customHeight="false" outlineLevel="0" collapsed="false">
      <c r="A106" s="37" t="str">
        <f aca="false">IF(B106="","",ROW()-3)</f>
        <v/>
      </c>
      <c r="B106" s="38"/>
      <c r="C106" s="39"/>
      <c r="D106" s="39"/>
      <c r="E106" s="39"/>
      <c r="F106" s="39"/>
      <c r="G106" s="40"/>
      <c r="H106" s="39"/>
      <c r="I106" s="40" t="n">
        <f aca="false">IF(F106="",0,F106*G106)</f>
        <v>0</v>
      </c>
      <c r="J106" s="39"/>
      <c r="K106" s="39"/>
      <c r="L106" s="39"/>
      <c r="M106" s="39"/>
      <c r="N106" s="40" t="str">
        <f aca="false">IF(AND(M106&lt;&gt;"",F106&lt;&gt;""),F106*M106,"")</f>
        <v/>
      </c>
    </row>
    <row r="107" customFormat="false" ht="15" hidden="false" customHeight="false" outlineLevel="0" collapsed="false">
      <c r="A107" s="41" t="str">
        <f aca="false">IF(B107="","",ROW()-3)</f>
        <v/>
      </c>
      <c r="B107" s="42"/>
      <c r="C107" s="43"/>
      <c r="G107" s="44"/>
      <c r="H107" s="43"/>
      <c r="I107" s="44" t="n">
        <f aca="false">IF(F107="",0,F107*G107)</f>
        <v>0</v>
      </c>
      <c r="N107" s="44" t="str">
        <f aca="false">IF(AND(M107&lt;&gt;"",F107&lt;&gt;""),F107*M107,"")</f>
        <v/>
      </c>
    </row>
    <row r="108" customFormat="false" ht="15" hidden="false" customHeight="false" outlineLevel="0" collapsed="false">
      <c r="A108" s="37" t="str">
        <f aca="false">IF(B108="","",ROW()-3)</f>
        <v/>
      </c>
      <c r="B108" s="38"/>
      <c r="C108" s="39"/>
      <c r="D108" s="39"/>
      <c r="E108" s="39"/>
      <c r="F108" s="39"/>
      <c r="G108" s="40"/>
      <c r="H108" s="39"/>
      <c r="I108" s="40" t="n">
        <f aca="false">IF(F108="",0,F108*G108)</f>
        <v>0</v>
      </c>
      <c r="J108" s="39"/>
      <c r="K108" s="39"/>
      <c r="L108" s="39"/>
      <c r="M108" s="39"/>
      <c r="N108" s="40" t="str">
        <f aca="false">IF(AND(M108&lt;&gt;"",F108&lt;&gt;""),F108*M108,"")</f>
        <v/>
      </c>
    </row>
    <row r="109" customFormat="false" ht="15" hidden="false" customHeight="false" outlineLevel="0" collapsed="false">
      <c r="A109" s="41" t="str">
        <f aca="false">IF(B109="","",ROW()-3)</f>
        <v/>
      </c>
      <c r="B109" s="42"/>
      <c r="C109" s="43"/>
      <c r="G109" s="44"/>
      <c r="H109" s="43"/>
      <c r="I109" s="44" t="n">
        <f aca="false">IF(F109="",0,F109*G109)</f>
        <v>0</v>
      </c>
      <c r="N109" s="44" t="str">
        <f aca="false">IF(AND(M109&lt;&gt;"",F109&lt;&gt;""),F109*M109,"")</f>
        <v/>
      </c>
    </row>
    <row r="110" customFormat="false" ht="15" hidden="false" customHeight="false" outlineLevel="0" collapsed="false">
      <c r="A110" s="37" t="str">
        <f aca="false">IF(B110="","",ROW()-3)</f>
        <v/>
      </c>
      <c r="B110" s="38"/>
      <c r="C110" s="39"/>
      <c r="D110" s="39"/>
      <c r="E110" s="39"/>
      <c r="F110" s="39"/>
      <c r="G110" s="40"/>
      <c r="H110" s="39"/>
      <c r="I110" s="40" t="n">
        <f aca="false">IF(F110="",0,F110*G110)</f>
        <v>0</v>
      </c>
      <c r="J110" s="39"/>
      <c r="K110" s="39"/>
      <c r="L110" s="39"/>
      <c r="M110" s="39"/>
      <c r="N110" s="40" t="str">
        <f aca="false">IF(AND(M110&lt;&gt;"",F110&lt;&gt;""),F110*M110,"")</f>
        <v/>
      </c>
    </row>
    <row r="111" customFormat="false" ht="15" hidden="false" customHeight="false" outlineLevel="0" collapsed="false">
      <c r="A111" s="41" t="str">
        <f aca="false">IF(B111="","",ROW()-3)</f>
        <v/>
      </c>
      <c r="B111" s="42"/>
      <c r="C111" s="43"/>
      <c r="G111" s="44"/>
      <c r="H111" s="43"/>
      <c r="I111" s="44" t="n">
        <f aca="false">IF(F111="",0,F111*G111)</f>
        <v>0</v>
      </c>
      <c r="N111" s="44" t="str">
        <f aca="false">IF(AND(M111&lt;&gt;"",F111&lt;&gt;""),F111*M111,"")</f>
        <v/>
      </c>
    </row>
    <row r="112" customFormat="false" ht="15" hidden="false" customHeight="false" outlineLevel="0" collapsed="false">
      <c r="A112" s="37" t="str">
        <f aca="false">IF(B112="","",ROW()-3)</f>
        <v/>
      </c>
      <c r="B112" s="38"/>
      <c r="C112" s="39"/>
      <c r="D112" s="39"/>
      <c r="E112" s="39"/>
      <c r="F112" s="39"/>
      <c r="G112" s="40"/>
      <c r="H112" s="39"/>
      <c r="I112" s="40" t="n">
        <f aca="false">IF(F112="",0,F112*G112)</f>
        <v>0</v>
      </c>
      <c r="J112" s="39"/>
      <c r="K112" s="39"/>
      <c r="L112" s="39"/>
      <c r="M112" s="39"/>
      <c r="N112" s="40" t="str">
        <f aca="false">IF(AND(M112&lt;&gt;"",F112&lt;&gt;""),F112*M112,"")</f>
        <v/>
      </c>
    </row>
    <row r="113" customFormat="false" ht="15" hidden="false" customHeight="false" outlineLevel="0" collapsed="false">
      <c r="A113" s="41" t="str">
        <f aca="false">IF(B113="","",ROW()-3)</f>
        <v/>
      </c>
      <c r="B113" s="42"/>
      <c r="C113" s="43"/>
      <c r="G113" s="44"/>
      <c r="H113" s="43"/>
      <c r="I113" s="44" t="n">
        <f aca="false">IF(F113="",0,F113*G113)</f>
        <v>0</v>
      </c>
      <c r="N113" s="44" t="str">
        <f aca="false">IF(AND(M113&lt;&gt;"",F113&lt;&gt;""),F113*M113,"")</f>
        <v/>
      </c>
    </row>
    <row r="114" customFormat="false" ht="15" hidden="false" customHeight="false" outlineLevel="0" collapsed="false">
      <c r="A114" s="37" t="str">
        <f aca="false">IF(B114="","",ROW()-3)</f>
        <v/>
      </c>
      <c r="B114" s="38"/>
      <c r="C114" s="39"/>
      <c r="D114" s="39"/>
      <c r="E114" s="39"/>
      <c r="F114" s="39"/>
      <c r="G114" s="40"/>
      <c r="H114" s="39"/>
      <c r="I114" s="40" t="n">
        <f aca="false">IF(F114="",0,F114*G114)</f>
        <v>0</v>
      </c>
      <c r="J114" s="39"/>
      <c r="K114" s="39"/>
      <c r="L114" s="39"/>
      <c r="M114" s="39"/>
      <c r="N114" s="40" t="str">
        <f aca="false">IF(AND(M114&lt;&gt;"",F114&lt;&gt;""),F114*M114,"")</f>
        <v/>
      </c>
    </row>
    <row r="115" customFormat="false" ht="15" hidden="false" customHeight="false" outlineLevel="0" collapsed="false">
      <c r="A115" s="41" t="str">
        <f aca="false">IF(B115="","",ROW()-3)</f>
        <v/>
      </c>
      <c r="B115" s="42"/>
      <c r="C115" s="43"/>
      <c r="G115" s="44"/>
      <c r="H115" s="43"/>
      <c r="I115" s="44" t="n">
        <f aca="false">IF(F115="",0,F115*G115)</f>
        <v>0</v>
      </c>
      <c r="N115" s="44" t="str">
        <f aca="false">IF(AND(M115&lt;&gt;"",F115&lt;&gt;""),F115*M115,"")</f>
        <v/>
      </c>
    </row>
    <row r="116" customFormat="false" ht="15" hidden="false" customHeight="false" outlineLevel="0" collapsed="false">
      <c r="A116" s="37" t="str">
        <f aca="false">IF(B116="","",ROW()-3)</f>
        <v/>
      </c>
      <c r="B116" s="38"/>
      <c r="C116" s="39"/>
      <c r="D116" s="39"/>
      <c r="E116" s="39"/>
      <c r="F116" s="39"/>
      <c r="G116" s="40"/>
      <c r="H116" s="39"/>
      <c r="I116" s="40" t="n">
        <f aca="false">IF(F116="",0,F116*G116)</f>
        <v>0</v>
      </c>
      <c r="J116" s="39"/>
      <c r="K116" s="39"/>
      <c r="L116" s="39"/>
      <c r="M116" s="39"/>
      <c r="N116" s="40" t="str">
        <f aca="false">IF(AND(M116&lt;&gt;"",F116&lt;&gt;""),F116*M116,"")</f>
        <v/>
      </c>
    </row>
    <row r="117" customFormat="false" ht="15" hidden="false" customHeight="false" outlineLevel="0" collapsed="false">
      <c r="A117" s="41" t="str">
        <f aca="false">IF(B117="","",ROW()-3)</f>
        <v/>
      </c>
      <c r="B117" s="42"/>
      <c r="C117" s="43"/>
      <c r="G117" s="44"/>
      <c r="H117" s="43"/>
      <c r="I117" s="44" t="n">
        <f aca="false">IF(F117="",0,F117*G117)</f>
        <v>0</v>
      </c>
      <c r="N117" s="44" t="str">
        <f aca="false">IF(AND(M117&lt;&gt;"",F117&lt;&gt;""),F117*M117,"")</f>
        <v/>
      </c>
    </row>
    <row r="118" customFormat="false" ht="15" hidden="false" customHeight="false" outlineLevel="0" collapsed="false">
      <c r="A118" s="37" t="str">
        <f aca="false">IF(B118="","",ROW()-3)</f>
        <v/>
      </c>
      <c r="B118" s="38"/>
      <c r="C118" s="39"/>
      <c r="D118" s="39"/>
      <c r="E118" s="39"/>
      <c r="F118" s="39"/>
      <c r="G118" s="40"/>
      <c r="H118" s="39"/>
      <c r="I118" s="40" t="n">
        <f aca="false">IF(F118="",0,F118*G118)</f>
        <v>0</v>
      </c>
      <c r="J118" s="39"/>
      <c r="K118" s="39"/>
      <c r="L118" s="39"/>
      <c r="M118" s="39"/>
      <c r="N118" s="40" t="str">
        <f aca="false">IF(AND(M118&lt;&gt;"",F118&lt;&gt;""),F118*M118,"")</f>
        <v/>
      </c>
    </row>
    <row r="119" customFormat="false" ht="15" hidden="false" customHeight="false" outlineLevel="0" collapsed="false">
      <c r="A119" s="41" t="str">
        <f aca="false">IF(B119="","",ROW()-3)</f>
        <v/>
      </c>
      <c r="B119" s="42"/>
      <c r="C119" s="43"/>
      <c r="G119" s="44"/>
      <c r="H119" s="43"/>
      <c r="I119" s="44" t="n">
        <f aca="false">IF(F119="",0,F119*G119)</f>
        <v>0</v>
      </c>
      <c r="N119" s="44" t="str">
        <f aca="false">IF(AND(M119&lt;&gt;"",F119&lt;&gt;""),F119*M119,"")</f>
        <v/>
      </c>
    </row>
    <row r="120" customFormat="false" ht="15" hidden="false" customHeight="false" outlineLevel="0" collapsed="false">
      <c r="A120" s="37" t="str">
        <f aca="false">IF(B120="","",ROW()-3)</f>
        <v/>
      </c>
      <c r="B120" s="38"/>
      <c r="C120" s="39"/>
      <c r="D120" s="39"/>
      <c r="E120" s="39"/>
      <c r="F120" s="39"/>
      <c r="G120" s="40"/>
      <c r="H120" s="39"/>
      <c r="I120" s="40" t="n">
        <f aca="false">IF(F120="",0,F120*G120)</f>
        <v>0</v>
      </c>
      <c r="J120" s="39"/>
      <c r="K120" s="39"/>
      <c r="L120" s="39"/>
      <c r="M120" s="39"/>
      <c r="N120" s="40" t="str">
        <f aca="false">IF(AND(M120&lt;&gt;"",F120&lt;&gt;""),F120*M120,"")</f>
        <v/>
      </c>
    </row>
    <row r="121" customFormat="false" ht="15" hidden="false" customHeight="false" outlineLevel="0" collapsed="false">
      <c r="A121" s="41" t="str">
        <f aca="false">IF(B121="","",ROW()-3)</f>
        <v/>
      </c>
      <c r="B121" s="42"/>
      <c r="C121" s="43"/>
      <c r="G121" s="44"/>
      <c r="H121" s="43"/>
      <c r="I121" s="44" t="n">
        <f aca="false">IF(F121="",0,F121*G121)</f>
        <v>0</v>
      </c>
      <c r="N121" s="44" t="str">
        <f aca="false">IF(AND(M121&lt;&gt;"",F121&lt;&gt;""),F121*M121,"")</f>
        <v/>
      </c>
    </row>
    <row r="122" customFormat="false" ht="15" hidden="false" customHeight="false" outlineLevel="0" collapsed="false">
      <c r="A122" s="37" t="str">
        <f aca="false">IF(B122="","",ROW()-3)</f>
        <v/>
      </c>
      <c r="B122" s="38"/>
      <c r="C122" s="39"/>
      <c r="D122" s="39"/>
      <c r="E122" s="39"/>
      <c r="F122" s="39"/>
      <c r="G122" s="40"/>
      <c r="H122" s="39"/>
      <c r="I122" s="40" t="n">
        <f aca="false">IF(F122="",0,F122*G122)</f>
        <v>0</v>
      </c>
      <c r="J122" s="39"/>
      <c r="K122" s="39"/>
      <c r="L122" s="39"/>
      <c r="M122" s="39"/>
      <c r="N122" s="40" t="str">
        <f aca="false">IF(AND(M122&lt;&gt;"",F122&lt;&gt;""),F122*M122,"")</f>
        <v/>
      </c>
    </row>
    <row r="123" customFormat="false" ht="15" hidden="false" customHeight="false" outlineLevel="0" collapsed="false">
      <c r="A123" s="41" t="str">
        <f aca="false">IF(B123="","",ROW()-3)</f>
        <v/>
      </c>
      <c r="B123" s="42"/>
      <c r="C123" s="43"/>
      <c r="G123" s="44"/>
      <c r="H123" s="43"/>
      <c r="I123" s="44" t="n">
        <f aca="false">IF(F123="",0,F123*G123)</f>
        <v>0</v>
      </c>
      <c r="N123" s="44" t="str">
        <f aca="false">IF(AND(M123&lt;&gt;"",F123&lt;&gt;""),F123*M123,"")</f>
        <v/>
      </c>
    </row>
    <row r="124" customFormat="false" ht="15" hidden="false" customHeight="false" outlineLevel="0" collapsed="false">
      <c r="A124" s="37" t="str">
        <f aca="false">IF(B124="","",ROW()-3)</f>
        <v/>
      </c>
      <c r="B124" s="38"/>
      <c r="C124" s="39"/>
      <c r="D124" s="39"/>
      <c r="E124" s="39"/>
      <c r="F124" s="39"/>
      <c r="G124" s="40"/>
      <c r="H124" s="39"/>
      <c r="I124" s="40" t="n">
        <f aca="false">IF(F124="",0,F124*G124)</f>
        <v>0</v>
      </c>
      <c r="J124" s="39"/>
      <c r="K124" s="39"/>
      <c r="L124" s="39"/>
      <c r="M124" s="39"/>
      <c r="N124" s="40" t="str">
        <f aca="false">IF(AND(M124&lt;&gt;"",F124&lt;&gt;""),F124*M124,"")</f>
        <v/>
      </c>
    </row>
    <row r="125" customFormat="false" ht="15" hidden="false" customHeight="false" outlineLevel="0" collapsed="false">
      <c r="A125" s="41" t="str">
        <f aca="false">IF(B125="","",ROW()-3)</f>
        <v/>
      </c>
      <c r="B125" s="42"/>
      <c r="C125" s="43"/>
      <c r="G125" s="44"/>
      <c r="H125" s="43"/>
      <c r="I125" s="44" t="n">
        <f aca="false">IF(F125="",0,F125*G125)</f>
        <v>0</v>
      </c>
      <c r="N125" s="44" t="str">
        <f aca="false">IF(AND(M125&lt;&gt;"",F125&lt;&gt;""),F125*M125,"")</f>
        <v/>
      </c>
    </row>
    <row r="126" customFormat="false" ht="15" hidden="false" customHeight="false" outlineLevel="0" collapsed="false">
      <c r="A126" s="37" t="str">
        <f aca="false">IF(B126="","",ROW()-3)</f>
        <v/>
      </c>
      <c r="B126" s="38"/>
      <c r="C126" s="39"/>
      <c r="D126" s="39"/>
      <c r="E126" s="39"/>
      <c r="F126" s="39"/>
      <c r="G126" s="40"/>
      <c r="H126" s="39"/>
      <c r="I126" s="40" t="n">
        <f aca="false">IF(F126="",0,F126*G126)</f>
        <v>0</v>
      </c>
      <c r="J126" s="39"/>
      <c r="K126" s="39"/>
      <c r="L126" s="39"/>
      <c r="M126" s="39"/>
      <c r="N126" s="40" t="str">
        <f aca="false">IF(AND(M126&lt;&gt;"",F126&lt;&gt;""),F126*M126,"")</f>
        <v/>
      </c>
    </row>
    <row r="127" customFormat="false" ht="15" hidden="false" customHeight="false" outlineLevel="0" collapsed="false">
      <c r="A127" s="41" t="str">
        <f aca="false">IF(B127="","",ROW()-3)</f>
        <v/>
      </c>
      <c r="B127" s="42"/>
      <c r="C127" s="43"/>
      <c r="G127" s="44"/>
      <c r="H127" s="43"/>
      <c r="I127" s="44" t="n">
        <f aca="false">IF(F127="",0,F127*G127)</f>
        <v>0</v>
      </c>
      <c r="N127" s="44" t="str">
        <f aca="false">IF(AND(M127&lt;&gt;"",F127&lt;&gt;""),F127*M127,"")</f>
        <v/>
      </c>
    </row>
    <row r="128" customFormat="false" ht="15" hidden="false" customHeight="false" outlineLevel="0" collapsed="false">
      <c r="A128" s="37" t="str">
        <f aca="false">IF(B128="","",ROW()-3)</f>
        <v/>
      </c>
      <c r="B128" s="38"/>
      <c r="C128" s="39"/>
      <c r="D128" s="39"/>
      <c r="E128" s="39"/>
      <c r="F128" s="39"/>
      <c r="G128" s="40"/>
      <c r="H128" s="39"/>
      <c r="I128" s="40" t="n">
        <f aca="false">IF(F128="",0,F128*G128)</f>
        <v>0</v>
      </c>
      <c r="J128" s="39"/>
      <c r="K128" s="39"/>
      <c r="L128" s="39"/>
      <c r="M128" s="39"/>
      <c r="N128" s="40" t="str">
        <f aca="false">IF(AND(M128&lt;&gt;"",F128&lt;&gt;""),F128*M128,"")</f>
        <v/>
      </c>
    </row>
    <row r="129" customFormat="false" ht="15" hidden="false" customHeight="false" outlineLevel="0" collapsed="false">
      <c r="A129" s="41" t="str">
        <f aca="false">IF(B129="","",ROW()-3)</f>
        <v/>
      </c>
      <c r="B129" s="42"/>
      <c r="C129" s="43"/>
      <c r="G129" s="44"/>
      <c r="H129" s="43"/>
      <c r="I129" s="44" t="n">
        <f aca="false">IF(F129="",0,F129*G129)</f>
        <v>0</v>
      </c>
      <c r="N129" s="44" t="str">
        <f aca="false">IF(AND(M129&lt;&gt;"",F129&lt;&gt;""),F129*M129,"")</f>
        <v/>
      </c>
    </row>
    <row r="130" customFormat="false" ht="15" hidden="false" customHeight="false" outlineLevel="0" collapsed="false">
      <c r="A130" s="37" t="str">
        <f aca="false">IF(B130="","",ROW()-3)</f>
        <v/>
      </c>
      <c r="B130" s="38"/>
      <c r="C130" s="39"/>
      <c r="D130" s="39"/>
      <c r="E130" s="39"/>
      <c r="F130" s="39"/>
      <c r="G130" s="40"/>
      <c r="H130" s="39"/>
      <c r="I130" s="40" t="n">
        <f aca="false">IF(F130="",0,F130*G130)</f>
        <v>0</v>
      </c>
      <c r="J130" s="39"/>
      <c r="K130" s="39"/>
      <c r="L130" s="39"/>
      <c r="M130" s="39"/>
      <c r="N130" s="40" t="str">
        <f aca="false">IF(AND(M130&lt;&gt;"",F130&lt;&gt;""),F130*M130,"")</f>
        <v/>
      </c>
    </row>
    <row r="131" customFormat="false" ht="15" hidden="false" customHeight="false" outlineLevel="0" collapsed="false">
      <c r="A131" s="41" t="str">
        <f aca="false">IF(B131="","",ROW()-3)</f>
        <v/>
      </c>
      <c r="B131" s="42"/>
      <c r="C131" s="43"/>
      <c r="G131" s="44"/>
      <c r="H131" s="43"/>
      <c r="I131" s="44" t="n">
        <f aca="false">IF(F131="",0,F131*G131)</f>
        <v>0</v>
      </c>
      <c r="N131" s="44" t="str">
        <f aca="false">IF(AND(M131&lt;&gt;"",F131&lt;&gt;""),F131*M131,"")</f>
        <v/>
      </c>
    </row>
    <row r="132" customFormat="false" ht="15" hidden="false" customHeight="false" outlineLevel="0" collapsed="false">
      <c r="A132" s="37" t="str">
        <f aca="false">IF(B132="","",ROW()-3)</f>
        <v/>
      </c>
      <c r="B132" s="38"/>
      <c r="C132" s="39"/>
      <c r="D132" s="39"/>
      <c r="E132" s="39"/>
      <c r="F132" s="39"/>
      <c r="G132" s="40"/>
      <c r="H132" s="39"/>
      <c r="I132" s="40" t="n">
        <f aca="false">IF(F132="",0,F132*G132)</f>
        <v>0</v>
      </c>
      <c r="J132" s="39"/>
      <c r="K132" s="39"/>
      <c r="L132" s="39"/>
      <c r="M132" s="39"/>
      <c r="N132" s="40" t="str">
        <f aca="false">IF(AND(M132&lt;&gt;"",F132&lt;&gt;""),F132*M132,"")</f>
        <v/>
      </c>
    </row>
    <row r="133" customFormat="false" ht="15" hidden="false" customHeight="false" outlineLevel="0" collapsed="false">
      <c r="A133" s="41" t="str">
        <f aca="false">IF(B133="","",ROW()-3)</f>
        <v/>
      </c>
      <c r="B133" s="42"/>
      <c r="C133" s="43"/>
      <c r="G133" s="44"/>
      <c r="H133" s="43"/>
      <c r="I133" s="44" t="n">
        <f aca="false">IF(F133="",0,F133*G133)</f>
        <v>0</v>
      </c>
      <c r="N133" s="44" t="str">
        <f aca="false">IF(AND(M133&lt;&gt;"",F133&lt;&gt;""),F133*M133,"")</f>
        <v/>
      </c>
    </row>
    <row r="134" customFormat="false" ht="15" hidden="false" customHeight="false" outlineLevel="0" collapsed="false">
      <c r="A134" s="37" t="str">
        <f aca="false">IF(B134="","",ROW()-3)</f>
        <v/>
      </c>
      <c r="B134" s="38"/>
      <c r="C134" s="39"/>
      <c r="D134" s="39"/>
      <c r="E134" s="39"/>
      <c r="F134" s="39"/>
      <c r="G134" s="40"/>
      <c r="H134" s="39"/>
      <c r="I134" s="40" t="n">
        <f aca="false">IF(F134="",0,F134*G134)</f>
        <v>0</v>
      </c>
      <c r="J134" s="39"/>
      <c r="K134" s="39"/>
      <c r="L134" s="39"/>
      <c r="M134" s="39"/>
      <c r="N134" s="40" t="str">
        <f aca="false">IF(AND(M134&lt;&gt;"",F134&lt;&gt;""),F134*M134,"")</f>
        <v/>
      </c>
    </row>
    <row r="135" customFormat="false" ht="15" hidden="false" customHeight="false" outlineLevel="0" collapsed="false">
      <c r="A135" s="41" t="str">
        <f aca="false">IF(B135="","",ROW()-3)</f>
        <v/>
      </c>
      <c r="B135" s="42"/>
      <c r="C135" s="43"/>
      <c r="G135" s="44"/>
      <c r="H135" s="43"/>
      <c r="I135" s="44" t="n">
        <f aca="false">IF(F135="",0,F135*G135)</f>
        <v>0</v>
      </c>
      <c r="N135" s="44" t="str">
        <f aca="false">IF(AND(M135&lt;&gt;"",F135&lt;&gt;""),F135*M135,"")</f>
        <v/>
      </c>
    </row>
    <row r="136" customFormat="false" ht="15" hidden="false" customHeight="false" outlineLevel="0" collapsed="false">
      <c r="A136" s="37" t="str">
        <f aca="false">IF(B136="","",ROW()-3)</f>
        <v/>
      </c>
      <c r="B136" s="38"/>
      <c r="C136" s="39"/>
      <c r="D136" s="39"/>
      <c r="E136" s="39"/>
      <c r="F136" s="39"/>
      <c r="G136" s="40"/>
      <c r="H136" s="39"/>
      <c r="I136" s="40" t="n">
        <f aca="false">IF(F136="",0,F136*G136)</f>
        <v>0</v>
      </c>
      <c r="J136" s="39"/>
      <c r="K136" s="39"/>
      <c r="L136" s="39"/>
      <c r="M136" s="39"/>
      <c r="N136" s="40" t="str">
        <f aca="false">IF(AND(M136&lt;&gt;"",F136&lt;&gt;""),F136*M136,"")</f>
        <v/>
      </c>
    </row>
    <row r="137" customFormat="false" ht="15" hidden="false" customHeight="false" outlineLevel="0" collapsed="false">
      <c r="A137" s="41" t="str">
        <f aca="false">IF(B137="","",ROW()-3)</f>
        <v/>
      </c>
      <c r="B137" s="42"/>
      <c r="C137" s="43"/>
      <c r="G137" s="44"/>
      <c r="H137" s="43"/>
      <c r="I137" s="44" t="n">
        <f aca="false">IF(F137="",0,F137*G137)</f>
        <v>0</v>
      </c>
      <c r="N137" s="44" t="str">
        <f aca="false">IF(AND(M137&lt;&gt;"",F137&lt;&gt;""),F137*M137,"")</f>
        <v/>
      </c>
    </row>
    <row r="138" customFormat="false" ht="15" hidden="false" customHeight="false" outlineLevel="0" collapsed="false">
      <c r="A138" s="37" t="str">
        <f aca="false">IF(B138="","",ROW()-3)</f>
        <v/>
      </c>
      <c r="B138" s="38"/>
      <c r="C138" s="39"/>
      <c r="D138" s="39"/>
      <c r="E138" s="39"/>
      <c r="F138" s="39"/>
      <c r="G138" s="40"/>
      <c r="H138" s="39"/>
      <c r="I138" s="40" t="n">
        <f aca="false">IF(F138="",0,F138*G138)</f>
        <v>0</v>
      </c>
      <c r="J138" s="39"/>
      <c r="K138" s="39"/>
      <c r="L138" s="39"/>
      <c r="M138" s="39"/>
      <c r="N138" s="40" t="str">
        <f aca="false">IF(AND(M138&lt;&gt;"",F138&lt;&gt;""),F138*M138,"")</f>
        <v/>
      </c>
    </row>
    <row r="139" customFormat="false" ht="15" hidden="false" customHeight="false" outlineLevel="0" collapsed="false">
      <c r="A139" s="41" t="str">
        <f aca="false">IF(B139="","",ROW()-3)</f>
        <v/>
      </c>
      <c r="B139" s="42"/>
      <c r="C139" s="43"/>
      <c r="G139" s="44"/>
      <c r="H139" s="43"/>
      <c r="I139" s="44" t="n">
        <f aca="false">IF(F139="",0,F139*G139)</f>
        <v>0</v>
      </c>
      <c r="N139" s="44" t="str">
        <f aca="false">IF(AND(M139&lt;&gt;"",F139&lt;&gt;""),F139*M139,"")</f>
        <v/>
      </c>
    </row>
    <row r="140" customFormat="false" ht="15" hidden="false" customHeight="false" outlineLevel="0" collapsed="false">
      <c r="A140" s="37" t="str">
        <f aca="false">IF(B140="","",ROW()-3)</f>
        <v/>
      </c>
      <c r="B140" s="38"/>
      <c r="C140" s="39"/>
      <c r="D140" s="39"/>
      <c r="E140" s="39"/>
      <c r="F140" s="39"/>
      <c r="G140" s="40"/>
      <c r="H140" s="39"/>
      <c r="I140" s="40" t="n">
        <f aca="false">IF(F140="",0,F140*G140)</f>
        <v>0</v>
      </c>
      <c r="J140" s="39"/>
      <c r="K140" s="39"/>
      <c r="L140" s="39"/>
      <c r="M140" s="39"/>
      <c r="N140" s="40" t="str">
        <f aca="false">IF(AND(M140&lt;&gt;"",F140&lt;&gt;""),F140*M140,"")</f>
        <v/>
      </c>
    </row>
    <row r="141" customFormat="false" ht="15" hidden="false" customHeight="false" outlineLevel="0" collapsed="false">
      <c r="A141" s="41" t="str">
        <f aca="false">IF(B141="","",ROW()-3)</f>
        <v/>
      </c>
      <c r="B141" s="42"/>
      <c r="C141" s="43"/>
      <c r="G141" s="44"/>
      <c r="H141" s="43"/>
      <c r="I141" s="44" t="n">
        <f aca="false">IF(F141="",0,F141*G141)</f>
        <v>0</v>
      </c>
      <c r="N141" s="44" t="str">
        <f aca="false">IF(AND(M141&lt;&gt;"",F141&lt;&gt;""),F141*M141,"")</f>
        <v/>
      </c>
    </row>
    <row r="142" customFormat="false" ht="15" hidden="false" customHeight="false" outlineLevel="0" collapsed="false">
      <c r="A142" s="37" t="str">
        <f aca="false">IF(B142="","",ROW()-3)</f>
        <v/>
      </c>
      <c r="B142" s="38"/>
      <c r="C142" s="39"/>
      <c r="D142" s="39"/>
      <c r="E142" s="39"/>
      <c r="F142" s="39"/>
      <c r="G142" s="40"/>
      <c r="H142" s="39"/>
      <c r="I142" s="40" t="n">
        <f aca="false">IF(F142="",0,F142*G142)</f>
        <v>0</v>
      </c>
      <c r="J142" s="39"/>
      <c r="K142" s="39"/>
      <c r="L142" s="39"/>
      <c r="M142" s="39"/>
      <c r="N142" s="40" t="str">
        <f aca="false">IF(AND(M142&lt;&gt;"",F142&lt;&gt;""),F142*M142,"")</f>
        <v/>
      </c>
    </row>
    <row r="143" customFormat="false" ht="15" hidden="false" customHeight="false" outlineLevel="0" collapsed="false">
      <c r="A143" s="41" t="str">
        <f aca="false">IF(B143="","",ROW()-3)</f>
        <v/>
      </c>
      <c r="B143" s="42"/>
      <c r="C143" s="43"/>
      <c r="G143" s="44"/>
      <c r="H143" s="43"/>
      <c r="I143" s="44" t="n">
        <f aca="false">IF(F143="",0,F143*G143)</f>
        <v>0</v>
      </c>
      <c r="N143" s="44" t="str">
        <f aca="false">IF(AND(M143&lt;&gt;"",F143&lt;&gt;""),F143*M143,"")</f>
        <v/>
      </c>
    </row>
    <row r="144" customFormat="false" ht="15" hidden="false" customHeight="false" outlineLevel="0" collapsed="false">
      <c r="A144" s="37" t="str">
        <f aca="false">IF(B144="","",ROW()-3)</f>
        <v/>
      </c>
      <c r="B144" s="38"/>
      <c r="C144" s="39"/>
      <c r="D144" s="39"/>
      <c r="E144" s="39"/>
      <c r="F144" s="39"/>
      <c r="G144" s="40"/>
      <c r="H144" s="39"/>
      <c r="I144" s="40" t="n">
        <f aca="false">IF(F144="",0,F144*G144)</f>
        <v>0</v>
      </c>
      <c r="J144" s="39"/>
      <c r="K144" s="39"/>
      <c r="L144" s="39"/>
      <c r="M144" s="39"/>
      <c r="N144" s="40" t="str">
        <f aca="false">IF(AND(M144&lt;&gt;"",F144&lt;&gt;""),F144*M144,"")</f>
        <v/>
      </c>
    </row>
    <row r="145" customFormat="false" ht="15" hidden="false" customHeight="false" outlineLevel="0" collapsed="false">
      <c r="A145" s="41" t="str">
        <f aca="false">IF(B145="","",ROW()-3)</f>
        <v/>
      </c>
      <c r="B145" s="42"/>
      <c r="C145" s="43"/>
      <c r="G145" s="44"/>
      <c r="H145" s="43"/>
      <c r="I145" s="44" t="n">
        <f aca="false">IF(F145="",0,F145*G145)</f>
        <v>0</v>
      </c>
      <c r="N145" s="44" t="str">
        <f aca="false">IF(AND(M145&lt;&gt;"",F145&lt;&gt;""),F145*M145,"")</f>
        <v/>
      </c>
    </row>
    <row r="146" customFormat="false" ht="15" hidden="false" customHeight="false" outlineLevel="0" collapsed="false">
      <c r="A146" s="37" t="str">
        <f aca="false">IF(B146="","",ROW()-3)</f>
        <v/>
      </c>
      <c r="B146" s="38"/>
      <c r="C146" s="39"/>
      <c r="D146" s="39"/>
      <c r="E146" s="39"/>
      <c r="F146" s="39"/>
      <c r="G146" s="40"/>
      <c r="H146" s="39"/>
      <c r="I146" s="40" t="n">
        <f aca="false">IF(F146="",0,F146*G146)</f>
        <v>0</v>
      </c>
      <c r="J146" s="39"/>
      <c r="K146" s="39"/>
      <c r="L146" s="39"/>
      <c r="M146" s="39"/>
      <c r="N146" s="40" t="str">
        <f aca="false">IF(AND(M146&lt;&gt;"",F146&lt;&gt;""),F146*M146,"")</f>
        <v/>
      </c>
    </row>
    <row r="147" customFormat="false" ht="15" hidden="false" customHeight="false" outlineLevel="0" collapsed="false">
      <c r="A147" s="41" t="str">
        <f aca="false">IF(B147="","",ROW()-3)</f>
        <v/>
      </c>
      <c r="B147" s="42"/>
      <c r="C147" s="43"/>
      <c r="G147" s="44"/>
      <c r="H147" s="43"/>
      <c r="I147" s="44" t="n">
        <f aca="false">IF(F147="",0,F147*G147)</f>
        <v>0</v>
      </c>
      <c r="N147" s="44" t="str">
        <f aca="false">IF(AND(M147&lt;&gt;"",F147&lt;&gt;""),F147*M147,"")</f>
        <v/>
      </c>
    </row>
    <row r="148" customFormat="false" ht="15" hidden="false" customHeight="false" outlineLevel="0" collapsed="false">
      <c r="A148" s="37" t="str">
        <f aca="false">IF(B148="","",ROW()-3)</f>
        <v/>
      </c>
      <c r="B148" s="38"/>
      <c r="C148" s="39"/>
      <c r="D148" s="39"/>
      <c r="E148" s="39"/>
      <c r="F148" s="39"/>
      <c r="G148" s="40"/>
      <c r="H148" s="39"/>
      <c r="I148" s="40" t="n">
        <f aca="false">IF(F148="",0,F148*G148)</f>
        <v>0</v>
      </c>
      <c r="J148" s="39"/>
      <c r="K148" s="39"/>
      <c r="L148" s="39"/>
      <c r="M148" s="39"/>
      <c r="N148" s="40" t="str">
        <f aca="false">IF(AND(M148&lt;&gt;"",F148&lt;&gt;""),F148*M148,"")</f>
        <v/>
      </c>
    </row>
    <row r="149" customFormat="false" ht="15" hidden="false" customHeight="false" outlineLevel="0" collapsed="false">
      <c r="A149" s="41" t="str">
        <f aca="false">IF(B149="","",ROW()-3)</f>
        <v/>
      </c>
      <c r="B149" s="42"/>
      <c r="C149" s="43"/>
      <c r="G149" s="44"/>
      <c r="H149" s="43"/>
      <c r="I149" s="44" t="n">
        <f aca="false">IF(F149="",0,F149*G149)</f>
        <v>0</v>
      </c>
      <c r="N149" s="44" t="str">
        <f aca="false">IF(AND(M149&lt;&gt;"",F149&lt;&gt;""),F149*M149,"")</f>
        <v/>
      </c>
    </row>
    <row r="150" customFormat="false" ht="15" hidden="false" customHeight="false" outlineLevel="0" collapsed="false">
      <c r="A150" s="37" t="str">
        <f aca="false">IF(B150="","",ROW()-3)</f>
        <v/>
      </c>
      <c r="B150" s="38"/>
      <c r="C150" s="39"/>
      <c r="D150" s="39"/>
      <c r="E150" s="39"/>
      <c r="F150" s="39"/>
      <c r="G150" s="40"/>
      <c r="H150" s="39"/>
      <c r="I150" s="40" t="n">
        <f aca="false">IF(F150="",0,F150*G150)</f>
        <v>0</v>
      </c>
      <c r="J150" s="39"/>
      <c r="K150" s="39"/>
      <c r="L150" s="39"/>
      <c r="M150" s="39"/>
      <c r="N150" s="40" t="str">
        <f aca="false">IF(AND(M150&lt;&gt;"",F150&lt;&gt;""),F150*M150,"")</f>
        <v/>
      </c>
    </row>
    <row r="151" customFormat="false" ht="15" hidden="false" customHeight="false" outlineLevel="0" collapsed="false">
      <c r="A151" s="41" t="str">
        <f aca="false">IF(B151="","",ROW()-3)</f>
        <v/>
      </c>
      <c r="B151" s="42"/>
      <c r="C151" s="43"/>
      <c r="G151" s="44"/>
      <c r="H151" s="43"/>
      <c r="I151" s="44" t="n">
        <f aca="false">IF(F151="",0,F151*G151)</f>
        <v>0</v>
      </c>
      <c r="N151" s="44" t="str">
        <f aca="false">IF(AND(M151&lt;&gt;"",F151&lt;&gt;""),F151*M151,"")</f>
        <v/>
      </c>
    </row>
    <row r="152" customFormat="false" ht="15" hidden="false" customHeight="false" outlineLevel="0" collapsed="false">
      <c r="A152" s="37" t="str">
        <f aca="false">IF(B152="","",ROW()-3)</f>
        <v/>
      </c>
      <c r="B152" s="38"/>
      <c r="C152" s="39"/>
      <c r="D152" s="39"/>
      <c r="E152" s="39"/>
      <c r="F152" s="39"/>
      <c r="G152" s="40"/>
      <c r="H152" s="39"/>
      <c r="I152" s="40" t="n">
        <f aca="false">IF(F152="",0,F152*G152)</f>
        <v>0</v>
      </c>
      <c r="J152" s="39"/>
      <c r="K152" s="39"/>
      <c r="L152" s="39"/>
      <c r="M152" s="39"/>
      <c r="N152" s="40" t="str">
        <f aca="false">IF(AND(M152&lt;&gt;"",F152&lt;&gt;""),F152*M152,"")</f>
        <v/>
      </c>
    </row>
    <row r="153" customFormat="false" ht="15" hidden="false" customHeight="false" outlineLevel="0" collapsed="false">
      <c r="A153" s="41" t="str">
        <f aca="false">IF(B153="","",ROW()-3)</f>
        <v/>
      </c>
      <c r="B153" s="42"/>
      <c r="C153" s="43"/>
      <c r="G153" s="44"/>
      <c r="H153" s="43"/>
      <c r="I153" s="44" t="n">
        <f aca="false">IF(F153="",0,F153*G153)</f>
        <v>0</v>
      </c>
      <c r="N153" s="44" t="str">
        <f aca="false">IF(AND(M153&lt;&gt;"",F153&lt;&gt;""),F153*M153,"")</f>
        <v/>
      </c>
    </row>
    <row r="154" customFormat="false" ht="15" hidden="false" customHeight="false" outlineLevel="0" collapsed="false">
      <c r="A154" s="37" t="str">
        <f aca="false">IF(B154="","",ROW()-3)</f>
        <v/>
      </c>
      <c r="B154" s="38"/>
      <c r="C154" s="39"/>
      <c r="D154" s="39"/>
      <c r="E154" s="39"/>
      <c r="F154" s="39"/>
      <c r="G154" s="40"/>
      <c r="H154" s="39"/>
      <c r="I154" s="40" t="n">
        <f aca="false">IF(F154="",0,F154*G154)</f>
        <v>0</v>
      </c>
      <c r="J154" s="39"/>
      <c r="K154" s="39"/>
      <c r="L154" s="39"/>
      <c r="M154" s="39"/>
      <c r="N154" s="40" t="str">
        <f aca="false">IF(AND(M154&lt;&gt;"",F154&lt;&gt;""),F154*M154,"")</f>
        <v/>
      </c>
    </row>
    <row r="155" customFormat="false" ht="15" hidden="false" customHeight="false" outlineLevel="0" collapsed="false">
      <c r="A155" s="41" t="str">
        <f aca="false">IF(B155="","",ROW()-3)</f>
        <v/>
      </c>
      <c r="B155" s="42"/>
      <c r="C155" s="43"/>
      <c r="G155" s="44"/>
      <c r="H155" s="43"/>
      <c r="I155" s="44" t="n">
        <f aca="false">IF(F155="",0,F155*G155)</f>
        <v>0</v>
      </c>
      <c r="N155" s="44" t="str">
        <f aca="false">IF(AND(M155&lt;&gt;"",F155&lt;&gt;""),F155*M155,"")</f>
        <v/>
      </c>
    </row>
    <row r="156" customFormat="false" ht="15" hidden="false" customHeight="false" outlineLevel="0" collapsed="false">
      <c r="A156" s="37" t="str">
        <f aca="false">IF(B156="","",ROW()-3)</f>
        <v/>
      </c>
      <c r="B156" s="38"/>
      <c r="C156" s="39"/>
      <c r="D156" s="39"/>
      <c r="E156" s="39"/>
      <c r="F156" s="39"/>
      <c r="G156" s="40"/>
      <c r="H156" s="39"/>
      <c r="I156" s="40" t="n">
        <f aca="false">IF(F156="",0,F156*G156)</f>
        <v>0</v>
      </c>
      <c r="J156" s="39"/>
      <c r="K156" s="39"/>
      <c r="L156" s="39"/>
      <c r="M156" s="39"/>
      <c r="N156" s="40" t="str">
        <f aca="false">IF(AND(M156&lt;&gt;"",F156&lt;&gt;""),F156*M156,"")</f>
        <v/>
      </c>
    </row>
    <row r="157" customFormat="false" ht="15" hidden="false" customHeight="false" outlineLevel="0" collapsed="false">
      <c r="A157" s="41" t="str">
        <f aca="false">IF(B157="","",ROW()-3)</f>
        <v/>
      </c>
      <c r="B157" s="42"/>
      <c r="C157" s="43"/>
      <c r="G157" s="44"/>
      <c r="H157" s="43"/>
      <c r="I157" s="44" t="n">
        <f aca="false">IF(F157="",0,F157*G157)</f>
        <v>0</v>
      </c>
      <c r="N157" s="44" t="str">
        <f aca="false">IF(AND(M157&lt;&gt;"",F157&lt;&gt;""),F157*M157,"")</f>
        <v/>
      </c>
    </row>
    <row r="158" customFormat="false" ht="15" hidden="false" customHeight="false" outlineLevel="0" collapsed="false">
      <c r="A158" s="37" t="str">
        <f aca="false">IF(B158="","",ROW()-3)</f>
        <v/>
      </c>
      <c r="B158" s="38"/>
      <c r="C158" s="39"/>
      <c r="D158" s="39"/>
      <c r="E158" s="39"/>
      <c r="F158" s="39"/>
      <c r="G158" s="40"/>
      <c r="H158" s="39"/>
      <c r="I158" s="40" t="n">
        <f aca="false">IF(F158="",0,F158*G158)</f>
        <v>0</v>
      </c>
      <c r="J158" s="39"/>
      <c r="K158" s="39"/>
      <c r="L158" s="39"/>
      <c r="M158" s="39"/>
      <c r="N158" s="40" t="str">
        <f aca="false">IF(AND(M158&lt;&gt;"",F158&lt;&gt;""),F158*M158,"")</f>
        <v/>
      </c>
    </row>
    <row r="159" customFormat="false" ht="15" hidden="false" customHeight="false" outlineLevel="0" collapsed="false">
      <c r="A159" s="41" t="str">
        <f aca="false">IF(B159="","",ROW()-3)</f>
        <v/>
      </c>
      <c r="B159" s="42"/>
      <c r="C159" s="43"/>
      <c r="G159" s="44"/>
      <c r="H159" s="43"/>
      <c r="I159" s="44" t="n">
        <f aca="false">IF(F159="",0,F159*G159)</f>
        <v>0</v>
      </c>
      <c r="N159" s="44" t="str">
        <f aca="false">IF(AND(M159&lt;&gt;"",F159&lt;&gt;""),F159*M159,"")</f>
        <v/>
      </c>
    </row>
    <row r="160" customFormat="false" ht="15" hidden="false" customHeight="false" outlineLevel="0" collapsed="false">
      <c r="A160" s="37" t="str">
        <f aca="false">IF(B160="","",ROW()-3)</f>
        <v/>
      </c>
      <c r="B160" s="38"/>
      <c r="C160" s="39"/>
      <c r="D160" s="39"/>
      <c r="E160" s="39"/>
      <c r="F160" s="39"/>
      <c r="G160" s="40"/>
      <c r="H160" s="39"/>
      <c r="I160" s="40" t="n">
        <f aca="false">IF(F160="",0,F160*G160)</f>
        <v>0</v>
      </c>
      <c r="J160" s="39"/>
      <c r="K160" s="39"/>
      <c r="L160" s="39"/>
      <c r="M160" s="39"/>
      <c r="N160" s="40" t="str">
        <f aca="false">IF(AND(M160&lt;&gt;"",F160&lt;&gt;""),F160*M160,"")</f>
        <v/>
      </c>
    </row>
    <row r="161" customFormat="false" ht="15" hidden="false" customHeight="false" outlineLevel="0" collapsed="false">
      <c r="A161" s="41" t="str">
        <f aca="false">IF(B161="","",ROW()-3)</f>
        <v/>
      </c>
      <c r="B161" s="42"/>
      <c r="C161" s="43"/>
      <c r="G161" s="44"/>
      <c r="H161" s="43"/>
      <c r="I161" s="44" t="n">
        <f aca="false">IF(F161="",0,F161*G161)</f>
        <v>0</v>
      </c>
      <c r="N161" s="44" t="str">
        <f aca="false">IF(AND(M161&lt;&gt;"",F161&lt;&gt;""),F161*M161,"")</f>
        <v/>
      </c>
    </row>
    <row r="162" customFormat="false" ht="15" hidden="false" customHeight="false" outlineLevel="0" collapsed="false">
      <c r="A162" s="37" t="str">
        <f aca="false">IF(B162="","",ROW()-3)</f>
        <v/>
      </c>
      <c r="B162" s="38"/>
      <c r="C162" s="39"/>
      <c r="D162" s="39"/>
      <c r="E162" s="39"/>
      <c r="F162" s="39"/>
      <c r="G162" s="40"/>
      <c r="H162" s="39"/>
      <c r="I162" s="40" t="n">
        <f aca="false">IF(F162="",0,F162*G162)</f>
        <v>0</v>
      </c>
      <c r="J162" s="39"/>
      <c r="K162" s="39"/>
      <c r="L162" s="39"/>
      <c r="M162" s="39"/>
      <c r="N162" s="40" t="str">
        <f aca="false">IF(AND(M162&lt;&gt;"",F162&lt;&gt;""),F162*M162,"")</f>
        <v/>
      </c>
    </row>
    <row r="163" customFormat="false" ht="15" hidden="false" customHeight="false" outlineLevel="0" collapsed="false">
      <c r="A163" s="41" t="str">
        <f aca="false">IF(B163="","",ROW()-3)</f>
        <v/>
      </c>
      <c r="B163" s="42"/>
      <c r="C163" s="43"/>
      <c r="G163" s="44"/>
      <c r="H163" s="43"/>
      <c r="I163" s="44" t="n">
        <f aca="false">IF(F163="",0,F163*G163)</f>
        <v>0</v>
      </c>
      <c r="N163" s="44" t="str">
        <f aca="false">IF(AND(M163&lt;&gt;"",F163&lt;&gt;""),F163*M163,"")</f>
        <v/>
      </c>
    </row>
    <row r="164" customFormat="false" ht="15" hidden="false" customHeight="false" outlineLevel="0" collapsed="false">
      <c r="A164" s="37" t="str">
        <f aca="false">IF(B164="","",ROW()-3)</f>
        <v/>
      </c>
      <c r="B164" s="38"/>
      <c r="C164" s="39"/>
      <c r="D164" s="39"/>
      <c r="E164" s="39"/>
      <c r="F164" s="39"/>
      <c r="G164" s="40"/>
      <c r="H164" s="39"/>
      <c r="I164" s="40" t="n">
        <f aca="false">IF(F164="",0,F164*G164)</f>
        <v>0</v>
      </c>
      <c r="J164" s="39"/>
      <c r="K164" s="39"/>
      <c r="L164" s="39"/>
      <c r="M164" s="39"/>
      <c r="N164" s="40" t="str">
        <f aca="false">IF(AND(M164&lt;&gt;"",F164&lt;&gt;""),F164*M164,"")</f>
        <v/>
      </c>
    </row>
    <row r="165" customFormat="false" ht="15" hidden="false" customHeight="false" outlineLevel="0" collapsed="false">
      <c r="A165" s="41" t="str">
        <f aca="false">IF(B165="","",ROW()-3)</f>
        <v/>
      </c>
      <c r="B165" s="42"/>
      <c r="C165" s="43"/>
      <c r="G165" s="44"/>
      <c r="H165" s="43"/>
      <c r="I165" s="44" t="n">
        <f aca="false">IF(F165="",0,F165*G165)</f>
        <v>0</v>
      </c>
      <c r="N165" s="44" t="str">
        <f aca="false">IF(AND(M165&lt;&gt;"",F165&lt;&gt;""),F165*M165,"")</f>
        <v/>
      </c>
    </row>
    <row r="166" customFormat="false" ht="15" hidden="false" customHeight="false" outlineLevel="0" collapsed="false">
      <c r="A166" s="37" t="str">
        <f aca="false">IF(B166="","",ROW()-3)</f>
        <v/>
      </c>
      <c r="B166" s="38"/>
      <c r="C166" s="39"/>
      <c r="D166" s="39"/>
      <c r="E166" s="39"/>
      <c r="F166" s="39"/>
      <c r="G166" s="40"/>
      <c r="H166" s="39"/>
      <c r="I166" s="40" t="n">
        <f aca="false">IF(F166="",0,F166*G166)</f>
        <v>0</v>
      </c>
      <c r="J166" s="39"/>
      <c r="K166" s="39"/>
      <c r="L166" s="39"/>
      <c r="M166" s="39"/>
      <c r="N166" s="40" t="str">
        <f aca="false">IF(AND(M166&lt;&gt;"",F166&lt;&gt;""),F166*M166,"")</f>
        <v/>
      </c>
    </row>
    <row r="167" customFormat="false" ht="15" hidden="false" customHeight="false" outlineLevel="0" collapsed="false">
      <c r="A167" s="41" t="str">
        <f aca="false">IF(B167="","",ROW()-3)</f>
        <v/>
      </c>
      <c r="B167" s="42"/>
      <c r="C167" s="43"/>
      <c r="G167" s="44"/>
      <c r="H167" s="43"/>
      <c r="I167" s="44" t="n">
        <f aca="false">IF(F167="",0,F167*G167)</f>
        <v>0</v>
      </c>
      <c r="N167" s="44" t="str">
        <f aca="false">IF(AND(M167&lt;&gt;"",F167&lt;&gt;""),F167*M167,"")</f>
        <v/>
      </c>
    </row>
    <row r="168" customFormat="false" ht="15" hidden="false" customHeight="false" outlineLevel="0" collapsed="false">
      <c r="A168" s="37" t="str">
        <f aca="false">IF(B168="","",ROW()-3)</f>
        <v/>
      </c>
      <c r="B168" s="38"/>
      <c r="C168" s="39"/>
      <c r="D168" s="39"/>
      <c r="E168" s="39"/>
      <c r="F168" s="39"/>
      <c r="G168" s="40"/>
      <c r="H168" s="39"/>
      <c r="I168" s="40" t="n">
        <f aca="false">IF(F168="",0,F168*G168)</f>
        <v>0</v>
      </c>
      <c r="J168" s="39"/>
      <c r="K168" s="39"/>
      <c r="L168" s="39"/>
      <c r="M168" s="39"/>
      <c r="N168" s="40" t="str">
        <f aca="false">IF(AND(M168&lt;&gt;"",F168&lt;&gt;""),F168*M168,"")</f>
        <v/>
      </c>
    </row>
    <row r="169" customFormat="false" ht="15" hidden="false" customHeight="false" outlineLevel="0" collapsed="false">
      <c r="A169" s="41" t="str">
        <f aca="false">IF(B169="","",ROW()-3)</f>
        <v/>
      </c>
      <c r="B169" s="42"/>
      <c r="C169" s="43"/>
      <c r="G169" s="44"/>
      <c r="H169" s="43"/>
      <c r="I169" s="44" t="n">
        <f aca="false">IF(F169="",0,F169*G169)</f>
        <v>0</v>
      </c>
      <c r="N169" s="44" t="str">
        <f aca="false">IF(AND(M169&lt;&gt;"",F169&lt;&gt;""),F169*M169,"")</f>
        <v/>
      </c>
    </row>
    <row r="170" customFormat="false" ht="15" hidden="false" customHeight="false" outlineLevel="0" collapsed="false">
      <c r="A170" s="37" t="str">
        <f aca="false">IF(B170="","",ROW()-3)</f>
        <v/>
      </c>
      <c r="B170" s="38"/>
      <c r="C170" s="39"/>
      <c r="D170" s="39"/>
      <c r="E170" s="39"/>
      <c r="F170" s="39"/>
      <c r="G170" s="40"/>
      <c r="H170" s="39"/>
      <c r="I170" s="40" t="n">
        <f aca="false">IF(F170="",0,F170*G170)</f>
        <v>0</v>
      </c>
      <c r="J170" s="39"/>
      <c r="K170" s="39"/>
      <c r="L170" s="39"/>
      <c r="M170" s="39"/>
      <c r="N170" s="40" t="str">
        <f aca="false">IF(AND(M170&lt;&gt;"",F170&lt;&gt;""),F170*M170,"")</f>
        <v/>
      </c>
    </row>
    <row r="171" customFormat="false" ht="15" hidden="false" customHeight="false" outlineLevel="0" collapsed="false">
      <c r="A171" s="41" t="str">
        <f aca="false">IF(B171="","",ROW()-3)</f>
        <v/>
      </c>
      <c r="B171" s="42"/>
      <c r="C171" s="43"/>
      <c r="G171" s="44"/>
      <c r="H171" s="43"/>
      <c r="I171" s="44" t="n">
        <f aca="false">IF(F171="",0,F171*G171)</f>
        <v>0</v>
      </c>
      <c r="N171" s="44" t="str">
        <f aca="false">IF(AND(M171&lt;&gt;"",F171&lt;&gt;""),F171*M171,"")</f>
        <v/>
      </c>
    </row>
    <row r="172" customFormat="false" ht="15" hidden="false" customHeight="false" outlineLevel="0" collapsed="false">
      <c r="A172" s="37" t="str">
        <f aca="false">IF(B172="","",ROW()-3)</f>
        <v/>
      </c>
      <c r="B172" s="38"/>
      <c r="C172" s="39"/>
      <c r="D172" s="39"/>
      <c r="E172" s="39"/>
      <c r="F172" s="39"/>
      <c r="G172" s="40"/>
      <c r="H172" s="39"/>
      <c r="I172" s="40" t="n">
        <f aca="false">IF(F172="",0,F172*G172)</f>
        <v>0</v>
      </c>
      <c r="J172" s="39"/>
      <c r="K172" s="39"/>
      <c r="L172" s="39"/>
      <c r="M172" s="39"/>
      <c r="N172" s="40" t="str">
        <f aca="false">IF(AND(M172&lt;&gt;"",F172&lt;&gt;""),F172*M172,"")</f>
        <v/>
      </c>
    </row>
    <row r="173" customFormat="false" ht="15" hidden="false" customHeight="false" outlineLevel="0" collapsed="false">
      <c r="A173" s="41" t="str">
        <f aca="false">IF(B173="","",ROW()-3)</f>
        <v/>
      </c>
      <c r="B173" s="42"/>
      <c r="C173" s="43"/>
      <c r="G173" s="44"/>
      <c r="H173" s="43"/>
      <c r="I173" s="44" t="n">
        <f aca="false">IF(F173="",0,F173*G173)</f>
        <v>0</v>
      </c>
      <c r="N173" s="44" t="str">
        <f aca="false">IF(AND(M173&lt;&gt;"",F173&lt;&gt;""),F173*M173,"")</f>
        <v/>
      </c>
    </row>
    <row r="174" customFormat="false" ht="15" hidden="false" customHeight="false" outlineLevel="0" collapsed="false">
      <c r="A174" s="37" t="str">
        <f aca="false">IF(B174="","",ROW()-3)</f>
        <v/>
      </c>
      <c r="B174" s="38"/>
      <c r="C174" s="39"/>
      <c r="D174" s="39"/>
      <c r="E174" s="39"/>
      <c r="F174" s="39"/>
      <c r="G174" s="40"/>
      <c r="H174" s="39"/>
      <c r="I174" s="40" t="n">
        <f aca="false">IF(F174="",0,F174*G174)</f>
        <v>0</v>
      </c>
      <c r="J174" s="39"/>
      <c r="K174" s="39"/>
      <c r="L174" s="39"/>
      <c r="M174" s="39"/>
      <c r="N174" s="40" t="str">
        <f aca="false">IF(AND(M174&lt;&gt;"",F174&lt;&gt;""),F174*M174,"")</f>
        <v/>
      </c>
    </row>
    <row r="175" customFormat="false" ht="15" hidden="false" customHeight="false" outlineLevel="0" collapsed="false">
      <c r="A175" s="41" t="str">
        <f aca="false">IF(B175="","",ROW()-3)</f>
        <v/>
      </c>
      <c r="B175" s="42"/>
      <c r="C175" s="43"/>
      <c r="G175" s="44"/>
      <c r="H175" s="43"/>
      <c r="I175" s="44" t="n">
        <f aca="false">IF(F175="",0,F175*G175)</f>
        <v>0</v>
      </c>
      <c r="N175" s="44" t="str">
        <f aca="false">IF(AND(M175&lt;&gt;"",F175&lt;&gt;""),F175*M175,"")</f>
        <v/>
      </c>
    </row>
    <row r="176" customFormat="false" ht="15" hidden="false" customHeight="false" outlineLevel="0" collapsed="false">
      <c r="A176" s="37" t="str">
        <f aca="false">IF(B176="","",ROW()-3)</f>
        <v/>
      </c>
      <c r="B176" s="38"/>
      <c r="C176" s="39"/>
      <c r="D176" s="39"/>
      <c r="E176" s="39"/>
      <c r="F176" s="39"/>
      <c r="G176" s="40"/>
      <c r="H176" s="39"/>
      <c r="I176" s="40" t="n">
        <f aca="false">IF(F176="",0,F176*G176)</f>
        <v>0</v>
      </c>
      <c r="J176" s="39"/>
      <c r="K176" s="39"/>
      <c r="L176" s="39"/>
      <c r="M176" s="39"/>
      <c r="N176" s="40" t="str">
        <f aca="false">IF(AND(M176&lt;&gt;"",F176&lt;&gt;""),F176*M176,"")</f>
        <v/>
      </c>
    </row>
    <row r="177" customFormat="false" ht="15" hidden="false" customHeight="false" outlineLevel="0" collapsed="false">
      <c r="A177" s="41" t="str">
        <f aca="false">IF(B177="","",ROW()-3)</f>
        <v/>
      </c>
      <c r="B177" s="42"/>
      <c r="C177" s="43"/>
      <c r="G177" s="44"/>
      <c r="H177" s="43"/>
      <c r="I177" s="44" t="n">
        <f aca="false">IF(F177="",0,F177*G177)</f>
        <v>0</v>
      </c>
      <c r="N177" s="44" t="str">
        <f aca="false">IF(AND(M177&lt;&gt;"",F177&lt;&gt;""),F177*M177,"")</f>
        <v/>
      </c>
    </row>
    <row r="178" customFormat="false" ht="15" hidden="false" customHeight="false" outlineLevel="0" collapsed="false">
      <c r="A178" s="37" t="str">
        <f aca="false">IF(B178="","",ROW()-3)</f>
        <v/>
      </c>
      <c r="B178" s="38"/>
      <c r="C178" s="39"/>
      <c r="D178" s="39"/>
      <c r="E178" s="39"/>
      <c r="F178" s="39"/>
      <c r="G178" s="40"/>
      <c r="H178" s="39"/>
      <c r="I178" s="40" t="n">
        <f aca="false">IF(F178="",0,F178*G178)</f>
        <v>0</v>
      </c>
      <c r="J178" s="39"/>
      <c r="K178" s="39"/>
      <c r="L178" s="39"/>
      <c r="M178" s="39"/>
      <c r="N178" s="40" t="str">
        <f aca="false">IF(AND(M178&lt;&gt;"",F178&lt;&gt;""),F178*M178,"")</f>
        <v/>
      </c>
    </row>
    <row r="179" customFormat="false" ht="15" hidden="false" customHeight="false" outlineLevel="0" collapsed="false">
      <c r="A179" s="41" t="str">
        <f aca="false">IF(B179="","",ROW()-3)</f>
        <v/>
      </c>
      <c r="B179" s="42"/>
      <c r="C179" s="43"/>
      <c r="G179" s="44"/>
      <c r="H179" s="43"/>
      <c r="I179" s="44" t="n">
        <f aca="false">IF(F179="",0,F179*G179)</f>
        <v>0</v>
      </c>
      <c r="N179" s="44" t="str">
        <f aca="false">IF(AND(M179&lt;&gt;"",F179&lt;&gt;""),F179*M179,"")</f>
        <v/>
      </c>
    </row>
    <row r="180" customFormat="false" ht="15" hidden="false" customHeight="false" outlineLevel="0" collapsed="false">
      <c r="A180" s="37" t="str">
        <f aca="false">IF(B180="","",ROW()-3)</f>
        <v/>
      </c>
      <c r="B180" s="38"/>
      <c r="C180" s="39"/>
      <c r="D180" s="39"/>
      <c r="E180" s="39"/>
      <c r="F180" s="39"/>
      <c r="G180" s="40"/>
      <c r="H180" s="39"/>
      <c r="I180" s="40" t="n">
        <f aca="false">IF(F180="",0,F180*G180)</f>
        <v>0</v>
      </c>
      <c r="J180" s="39"/>
      <c r="K180" s="39"/>
      <c r="L180" s="39"/>
      <c r="M180" s="39"/>
      <c r="N180" s="40" t="str">
        <f aca="false">IF(AND(M180&lt;&gt;"",F180&lt;&gt;""),F180*M180,"")</f>
        <v/>
      </c>
    </row>
    <row r="181" customFormat="false" ht="15" hidden="false" customHeight="false" outlineLevel="0" collapsed="false">
      <c r="A181" s="41" t="str">
        <f aca="false">IF(B181="","",ROW()-3)</f>
        <v/>
      </c>
      <c r="B181" s="42"/>
      <c r="C181" s="43"/>
      <c r="G181" s="44"/>
      <c r="H181" s="43"/>
      <c r="I181" s="44" t="n">
        <f aca="false">IF(F181="",0,F181*G181)</f>
        <v>0</v>
      </c>
      <c r="N181" s="44" t="str">
        <f aca="false">IF(AND(M181&lt;&gt;"",F181&lt;&gt;""),F181*M181,"")</f>
        <v/>
      </c>
    </row>
    <row r="182" customFormat="false" ht="15" hidden="false" customHeight="false" outlineLevel="0" collapsed="false">
      <c r="A182" s="37" t="str">
        <f aca="false">IF(B182="","",ROW()-3)</f>
        <v/>
      </c>
      <c r="B182" s="38"/>
      <c r="C182" s="39"/>
      <c r="D182" s="39"/>
      <c r="E182" s="39"/>
      <c r="F182" s="39"/>
      <c r="G182" s="40"/>
      <c r="H182" s="39"/>
      <c r="I182" s="40" t="n">
        <f aca="false">IF(F182="",0,F182*G182)</f>
        <v>0</v>
      </c>
      <c r="J182" s="39"/>
      <c r="K182" s="39"/>
      <c r="L182" s="39"/>
      <c r="M182" s="39"/>
      <c r="N182" s="40" t="str">
        <f aca="false">IF(AND(M182&lt;&gt;"",F182&lt;&gt;""),F182*M182,"")</f>
        <v/>
      </c>
    </row>
    <row r="183" customFormat="false" ht="15" hidden="false" customHeight="false" outlineLevel="0" collapsed="false">
      <c r="A183" s="41" t="str">
        <f aca="false">IF(B183="","",ROW()-3)</f>
        <v/>
      </c>
      <c r="B183" s="42"/>
      <c r="C183" s="43"/>
      <c r="G183" s="44"/>
      <c r="H183" s="43"/>
      <c r="I183" s="44" t="n">
        <f aca="false">IF(F183="",0,F183*G183)</f>
        <v>0</v>
      </c>
      <c r="N183" s="44" t="str">
        <f aca="false">IF(AND(M183&lt;&gt;"",F183&lt;&gt;""),F183*M183,"")</f>
        <v/>
      </c>
    </row>
    <row r="184" customFormat="false" ht="15" hidden="false" customHeight="false" outlineLevel="0" collapsed="false">
      <c r="A184" s="37" t="str">
        <f aca="false">IF(B184="","",ROW()-3)</f>
        <v/>
      </c>
      <c r="B184" s="38"/>
      <c r="C184" s="39"/>
      <c r="D184" s="39"/>
      <c r="E184" s="39"/>
      <c r="F184" s="39"/>
      <c r="G184" s="40"/>
      <c r="H184" s="39"/>
      <c r="I184" s="40" t="n">
        <f aca="false">IF(F184="",0,F184*G184)</f>
        <v>0</v>
      </c>
      <c r="J184" s="39"/>
      <c r="K184" s="39"/>
      <c r="L184" s="39"/>
      <c r="M184" s="39"/>
      <c r="N184" s="40" t="str">
        <f aca="false">IF(AND(M184&lt;&gt;"",F184&lt;&gt;""),F184*M184,"")</f>
        <v/>
      </c>
    </row>
    <row r="185" customFormat="false" ht="15" hidden="false" customHeight="false" outlineLevel="0" collapsed="false">
      <c r="A185" s="41" t="str">
        <f aca="false">IF(B185="","",ROW()-3)</f>
        <v/>
      </c>
      <c r="B185" s="42"/>
      <c r="C185" s="43"/>
      <c r="G185" s="44"/>
      <c r="H185" s="43"/>
      <c r="I185" s="44" t="n">
        <f aca="false">IF(F185="",0,F185*G185)</f>
        <v>0</v>
      </c>
      <c r="N185" s="44" t="str">
        <f aca="false">IF(AND(M185&lt;&gt;"",F185&lt;&gt;""),F185*M185,"")</f>
        <v/>
      </c>
    </row>
    <row r="186" customFormat="false" ht="15" hidden="false" customHeight="false" outlineLevel="0" collapsed="false">
      <c r="A186" s="37" t="str">
        <f aca="false">IF(B186="","",ROW()-3)</f>
        <v/>
      </c>
      <c r="B186" s="38"/>
      <c r="C186" s="39"/>
      <c r="D186" s="39"/>
      <c r="E186" s="39"/>
      <c r="F186" s="39"/>
      <c r="G186" s="40"/>
      <c r="H186" s="39"/>
      <c r="I186" s="40" t="n">
        <f aca="false">IF(F186="",0,F186*G186)</f>
        <v>0</v>
      </c>
      <c r="J186" s="39"/>
      <c r="K186" s="39"/>
      <c r="L186" s="39"/>
      <c r="M186" s="39"/>
      <c r="N186" s="40" t="str">
        <f aca="false">IF(AND(M186&lt;&gt;"",F186&lt;&gt;""),F186*M186,"")</f>
        <v/>
      </c>
    </row>
    <row r="187" customFormat="false" ht="15" hidden="false" customHeight="false" outlineLevel="0" collapsed="false">
      <c r="A187" s="41" t="str">
        <f aca="false">IF(B187="","",ROW()-3)</f>
        <v/>
      </c>
      <c r="B187" s="42"/>
      <c r="C187" s="43"/>
      <c r="G187" s="44"/>
      <c r="H187" s="43"/>
      <c r="I187" s="44" t="n">
        <f aca="false">IF(F187="",0,F187*G187)</f>
        <v>0</v>
      </c>
      <c r="N187" s="44" t="str">
        <f aca="false">IF(AND(M187&lt;&gt;"",F187&lt;&gt;""),F187*M187,"")</f>
        <v/>
      </c>
    </row>
    <row r="188" customFormat="false" ht="15" hidden="false" customHeight="false" outlineLevel="0" collapsed="false">
      <c r="A188" s="37" t="str">
        <f aca="false">IF(B188="","",ROW()-3)</f>
        <v/>
      </c>
      <c r="B188" s="38"/>
      <c r="C188" s="39"/>
      <c r="D188" s="39"/>
      <c r="E188" s="39"/>
      <c r="F188" s="39"/>
      <c r="G188" s="40"/>
      <c r="H188" s="39"/>
      <c r="I188" s="40" t="n">
        <f aca="false">IF(F188="",0,F188*G188)</f>
        <v>0</v>
      </c>
      <c r="J188" s="39"/>
      <c r="K188" s="39"/>
      <c r="L188" s="39"/>
      <c r="M188" s="39"/>
      <c r="N188" s="40" t="str">
        <f aca="false">IF(AND(M188&lt;&gt;"",F188&lt;&gt;""),F188*M188,"")</f>
        <v/>
      </c>
    </row>
    <row r="189" customFormat="false" ht="15" hidden="false" customHeight="false" outlineLevel="0" collapsed="false">
      <c r="A189" s="41" t="str">
        <f aca="false">IF(B189="","",ROW()-3)</f>
        <v/>
      </c>
      <c r="B189" s="42"/>
      <c r="C189" s="43"/>
      <c r="G189" s="44"/>
      <c r="H189" s="43"/>
      <c r="I189" s="44" t="n">
        <f aca="false">IF(F189="",0,F189*G189)</f>
        <v>0</v>
      </c>
      <c r="N189" s="44" t="str">
        <f aca="false">IF(AND(M189&lt;&gt;"",F189&lt;&gt;""),F189*M189,"")</f>
        <v/>
      </c>
    </row>
    <row r="190" customFormat="false" ht="15" hidden="false" customHeight="false" outlineLevel="0" collapsed="false">
      <c r="A190" s="37" t="str">
        <f aca="false">IF(B190="","",ROW()-3)</f>
        <v/>
      </c>
      <c r="B190" s="38"/>
      <c r="C190" s="39"/>
      <c r="D190" s="39"/>
      <c r="E190" s="39"/>
      <c r="F190" s="39"/>
      <c r="G190" s="40"/>
      <c r="H190" s="39"/>
      <c r="I190" s="40" t="n">
        <f aca="false">IF(F190="",0,F190*G190)</f>
        <v>0</v>
      </c>
      <c r="J190" s="39"/>
      <c r="K190" s="39"/>
      <c r="L190" s="39"/>
      <c r="M190" s="39"/>
      <c r="N190" s="40" t="str">
        <f aca="false">IF(AND(M190&lt;&gt;"",F190&lt;&gt;""),F190*M190,"")</f>
        <v/>
      </c>
    </row>
    <row r="191" customFormat="false" ht="15" hidden="false" customHeight="false" outlineLevel="0" collapsed="false">
      <c r="A191" s="41" t="str">
        <f aca="false">IF(B191="","",ROW()-3)</f>
        <v/>
      </c>
      <c r="B191" s="42"/>
      <c r="C191" s="43"/>
      <c r="G191" s="44"/>
      <c r="H191" s="43"/>
      <c r="I191" s="44" t="n">
        <f aca="false">IF(F191="",0,F191*G191)</f>
        <v>0</v>
      </c>
      <c r="N191" s="44" t="str">
        <f aca="false">IF(AND(M191&lt;&gt;"",F191&lt;&gt;""),F191*M191,"")</f>
        <v/>
      </c>
    </row>
    <row r="192" customFormat="false" ht="15" hidden="false" customHeight="false" outlineLevel="0" collapsed="false">
      <c r="A192" s="37" t="str">
        <f aca="false">IF(B192="","",ROW()-3)</f>
        <v/>
      </c>
      <c r="B192" s="38"/>
      <c r="C192" s="39"/>
      <c r="D192" s="39"/>
      <c r="E192" s="39"/>
      <c r="F192" s="39"/>
      <c r="G192" s="40"/>
      <c r="H192" s="39"/>
      <c r="I192" s="40" t="n">
        <f aca="false">IF(F192="",0,F192*G192)</f>
        <v>0</v>
      </c>
      <c r="J192" s="39"/>
      <c r="K192" s="39"/>
      <c r="L192" s="39"/>
      <c r="M192" s="39"/>
      <c r="N192" s="40" t="str">
        <f aca="false">IF(AND(M192&lt;&gt;"",F192&lt;&gt;""),F192*M192,"")</f>
        <v/>
      </c>
    </row>
    <row r="193" customFormat="false" ht="15" hidden="false" customHeight="false" outlineLevel="0" collapsed="false">
      <c r="A193" s="41" t="str">
        <f aca="false">IF(B193="","",ROW()-3)</f>
        <v/>
      </c>
      <c r="B193" s="42"/>
      <c r="C193" s="43"/>
      <c r="G193" s="44"/>
      <c r="H193" s="43"/>
      <c r="I193" s="44" t="n">
        <f aca="false">IF(F193="",0,F193*G193)</f>
        <v>0</v>
      </c>
      <c r="N193" s="44" t="str">
        <f aca="false">IF(AND(M193&lt;&gt;"",F193&lt;&gt;""),F193*M193,"")</f>
        <v/>
      </c>
    </row>
    <row r="194" customFormat="false" ht="15" hidden="false" customHeight="false" outlineLevel="0" collapsed="false">
      <c r="A194" s="37" t="str">
        <f aca="false">IF(B194="","",ROW()-3)</f>
        <v/>
      </c>
      <c r="B194" s="38"/>
      <c r="C194" s="39"/>
      <c r="D194" s="39"/>
      <c r="E194" s="39"/>
      <c r="F194" s="39"/>
      <c r="G194" s="40"/>
      <c r="H194" s="39"/>
      <c r="I194" s="40" t="n">
        <f aca="false">IF(F194="",0,F194*G194)</f>
        <v>0</v>
      </c>
      <c r="J194" s="39"/>
      <c r="K194" s="39"/>
      <c r="L194" s="39"/>
      <c r="M194" s="39"/>
      <c r="N194" s="40" t="str">
        <f aca="false">IF(AND(M194&lt;&gt;"",F194&lt;&gt;""),F194*M194,"")</f>
        <v/>
      </c>
    </row>
    <row r="195" customFormat="false" ht="15" hidden="false" customHeight="false" outlineLevel="0" collapsed="false">
      <c r="A195" s="41" t="str">
        <f aca="false">IF(B195="","",ROW()-3)</f>
        <v/>
      </c>
      <c r="B195" s="42"/>
      <c r="C195" s="43"/>
      <c r="G195" s="44"/>
      <c r="H195" s="43"/>
      <c r="I195" s="44" t="n">
        <f aca="false">IF(F195="",0,F195*G195)</f>
        <v>0</v>
      </c>
      <c r="N195" s="44" t="str">
        <f aca="false">IF(AND(M195&lt;&gt;"",F195&lt;&gt;""),F195*M195,"")</f>
        <v/>
      </c>
    </row>
    <row r="196" customFormat="false" ht="15" hidden="false" customHeight="false" outlineLevel="0" collapsed="false">
      <c r="A196" s="37" t="str">
        <f aca="false">IF(B196="","",ROW()-3)</f>
        <v/>
      </c>
      <c r="B196" s="38"/>
      <c r="C196" s="39"/>
      <c r="D196" s="39"/>
      <c r="E196" s="39"/>
      <c r="F196" s="39"/>
      <c r="G196" s="40"/>
      <c r="H196" s="39"/>
      <c r="I196" s="40" t="n">
        <f aca="false">IF(F196="",0,F196*G196)</f>
        <v>0</v>
      </c>
      <c r="J196" s="39"/>
      <c r="K196" s="39"/>
      <c r="L196" s="39"/>
      <c r="M196" s="39"/>
      <c r="N196" s="40" t="str">
        <f aca="false">IF(AND(M196&lt;&gt;"",F196&lt;&gt;""),F196*M196,"")</f>
        <v/>
      </c>
    </row>
    <row r="197" customFormat="false" ht="15" hidden="false" customHeight="false" outlineLevel="0" collapsed="false">
      <c r="A197" s="41" t="str">
        <f aca="false">IF(B197="","",ROW()-3)</f>
        <v/>
      </c>
      <c r="B197" s="42"/>
      <c r="C197" s="43"/>
      <c r="G197" s="44"/>
      <c r="H197" s="43"/>
      <c r="I197" s="44" t="n">
        <f aca="false">IF(F197="",0,F197*G197)</f>
        <v>0</v>
      </c>
      <c r="N197" s="44" t="str">
        <f aca="false">IF(AND(M197&lt;&gt;"",F197&lt;&gt;""),F197*M197,"")</f>
        <v/>
      </c>
    </row>
    <row r="198" customFormat="false" ht="15" hidden="false" customHeight="false" outlineLevel="0" collapsed="false">
      <c r="A198" s="37" t="str">
        <f aca="false">IF(B198="","",ROW()-3)</f>
        <v/>
      </c>
      <c r="B198" s="38"/>
      <c r="C198" s="39"/>
      <c r="D198" s="39"/>
      <c r="E198" s="39"/>
      <c r="F198" s="39"/>
      <c r="G198" s="40"/>
      <c r="H198" s="39"/>
      <c r="I198" s="40" t="n">
        <f aca="false">IF(F198="",0,F198*G198)</f>
        <v>0</v>
      </c>
      <c r="J198" s="39"/>
      <c r="K198" s="39"/>
      <c r="L198" s="39"/>
      <c r="M198" s="39"/>
      <c r="N198" s="40" t="str">
        <f aca="false">IF(AND(M198&lt;&gt;"",F198&lt;&gt;""),F198*M198,"")</f>
        <v/>
      </c>
    </row>
    <row r="199" customFormat="false" ht="15" hidden="false" customHeight="false" outlineLevel="0" collapsed="false">
      <c r="A199" s="41" t="str">
        <f aca="false">IF(B199="","",ROW()-3)</f>
        <v/>
      </c>
      <c r="B199" s="42"/>
      <c r="C199" s="43"/>
      <c r="G199" s="44"/>
      <c r="H199" s="43"/>
      <c r="I199" s="44" t="n">
        <f aca="false">IF(F199="",0,F199*G199)</f>
        <v>0</v>
      </c>
      <c r="N199" s="44" t="str">
        <f aca="false">IF(AND(M199&lt;&gt;"",F199&lt;&gt;""),F199*M199,"")</f>
        <v/>
      </c>
    </row>
    <row r="200" customFormat="false" ht="15" hidden="false" customHeight="false" outlineLevel="0" collapsed="false">
      <c r="A200" s="37" t="str">
        <f aca="false">IF(B200="","",ROW()-3)</f>
        <v/>
      </c>
      <c r="B200" s="38"/>
      <c r="C200" s="39"/>
      <c r="D200" s="39"/>
      <c r="E200" s="39"/>
      <c r="F200" s="39"/>
      <c r="G200" s="40"/>
      <c r="H200" s="39"/>
      <c r="I200" s="40" t="n">
        <f aca="false">IF(F200="",0,F200*G200)</f>
        <v>0</v>
      </c>
      <c r="J200" s="39"/>
      <c r="K200" s="39"/>
      <c r="L200" s="39"/>
      <c r="M200" s="39"/>
      <c r="N200" s="40" t="str">
        <f aca="false">IF(AND(M200&lt;&gt;"",F200&lt;&gt;""),F200*M200,"")</f>
        <v/>
      </c>
    </row>
    <row r="201" customFormat="false" ht="15" hidden="false" customHeight="false" outlineLevel="0" collapsed="false">
      <c r="A201" s="41" t="str">
        <f aca="false">IF(B201="","",ROW()-3)</f>
        <v/>
      </c>
      <c r="B201" s="42"/>
      <c r="C201" s="43"/>
      <c r="G201" s="44"/>
      <c r="H201" s="43"/>
      <c r="I201" s="44" t="n">
        <f aca="false">IF(F201="",0,F201*G201)</f>
        <v>0</v>
      </c>
      <c r="N201" s="44" t="str">
        <f aca="false">IF(AND(M201&lt;&gt;"",F201&lt;&gt;""),F201*M201,"")</f>
        <v/>
      </c>
    </row>
    <row r="202" customFormat="false" ht="15" hidden="false" customHeight="false" outlineLevel="0" collapsed="false">
      <c r="A202" s="37" t="str">
        <f aca="false">IF(B202="","",ROW()-3)</f>
        <v/>
      </c>
      <c r="B202" s="38"/>
      <c r="C202" s="39"/>
      <c r="D202" s="39"/>
      <c r="E202" s="39"/>
      <c r="F202" s="39"/>
      <c r="G202" s="40"/>
      <c r="H202" s="39"/>
      <c r="I202" s="40" t="n">
        <f aca="false">IF(F202="",0,F202*G202)</f>
        <v>0</v>
      </c>
      <c r="J202" s="39"/>
      <c r="K202" s="39"/>
      <c r="L202" s="39"/>
      <c r="M202" s="39"/>
      <c r="N202" s="40" t="str">
        <f aca="false">IF(AND(M202&lt;&gt;"",F202&lt;&gt;""),F202*M202,"")</f>
        <v/>
      </c>
    </row>
    <row r="203" customFormat="false" ht="15" hidden="false" customHeight="false" outlineLevel="0" collapsed="false">
      <c r="A203" s="41" t="str">
        <f aca="false">IF(B203="","",ROW()-3)</f>
        <v/>
      </c>
      <c r="B203" s="42"/>
      <c r="C203" s="43"/>
      <c r="G203" s="44"/>
      <c r="H203" s="43"/>
      <c r="I203" s="44" t="n">
        <f aca="false">IF(F203="",0,F203*G203)</f>
        <v>0</v>
      </c>
      <c r="N203" s="44" t="str">
        <f aca="false">IF(AND(M203&lt;&gt;"",F203&lt;&gt;""),F203*M203,"")</f>
        <v/>
      </c>
    </row>
    <row r="204" customFormat="false" ht="15" hidden="false" customHeight="false" outlineLevel="0" collapsed="false">
      <c r="A204" s="37" t="str">
        <f aca="false">IF(B204="","",ROW()-3)</f>
        <v/>
      </c>
      <c r="B204" s="38"/>
      <c r="C204" s="39"/>
      <c r="D204" s="39"/>
      <c r="E204" s="39"/>
      <c r="F204" s="39"/>
      <c r="G204" s="40"/>
      <c r="H204" s="39"/>
      <c r="I204" s="40" t="n">
        <f aca="false">IF(F204="",0,F204*G204)</f>
        <v>0</v>
      </c>
      <c r="J204" s="39"/>
      <c r="K204" s="39"/>
      <c r="L204" s="39"/>
      <c r="M204" s="39"/>
      <c r="N204" s="40" t="str">
        <f aca="false">IF(AND(M204&lt;&gt;"",F204&lt;&gt;""),F204*M204,"")</f>
        <v/>
      </c>
    </row>
    <row r="205" customFormat="false" ht="15" hidden="false" customHeight="false" outlineLevel="0" collapsed="false">
      <c r="A205" s="41" t="str">
        <f aca="false">IF(B205="","",ROW()-3)</f>
        <v/>
      </c>
      <c r="B205" s="42"/>
      <c r="C205" s="43"/>
      <c r="G205" s="44"/>
      <c r="H205" s="43"/>
      <c r="I205" s="44" t="n">
        <f aca="false">IF(F205="",0,F205*G205)</f>
        <v>0</v>
      </c>
      <c r="N205" s="44" t="str">
        <f aca="false">IF(AND(M205&lt;&gt;"",F205&lt;&gt;""),F205*M205,"")</f>
        <v/>
      </c>
    </row>
    <row r="206" customFormat="false" ht="15" hidden="false" customHeight="false" outlineLevel="0" collapsed="false">
      <c r="A206" s="37" t="str">
        <f aca="false">IF(B206="","",ROW()-3)</f>
        <v/>
      </c>
      <c r="B206" s="38"/>
      <c r="C206" s="39"/>
      <c r="D206" s="39"/>
      <c r="E206" s="39"/>
      <c r="F206" s="39"/>
      <c r="G206" s="40"/>
      <c r="H206" s="39"/>
      <c r="I206" s="40" t="n">
        <f aca="false">IF(F206="",0,F206*G206)</f>
        <v>0</v>
      </c>
      <c r="J206" s="39"/>
      <c r="K206" s="39"/>
      <c r="L206" s="39"/>
      <c r="M206" s="39"/>
      <c r="N206" s="40" t="str">
        <f aca="false">IF(AND(M206&lt;&gt;"",F206&lt;&gt;""),F206*M206,"")</f>
        <v/>
      </c>
    </row>
    <row r="207" customFormat="false" ht="15" hidden="false" customHeight="false" outlineLevel="0" collapsed="false">
      <c r="A207" s="41" t="str">
        <f aca="false">IF(B207="","",ROW()-3)</f>
        <v/>
      </c>
      <c r="B207" s="42"/>
      <c r="C207" s="43"/>
      <c r="G207" s="44"/>
      <c r="H207" s="43"/>
      <c r="I207" s="44" t="n">
        <f aca="false">IF(F207="",0,F207*G207)</f>
        <v>0</v>
      </c>
      <c r="N207" s="44" t="str">
        <f aca="false">IF(AND(M207&lt;&gt;"",F207&lt;&gt;""),F207*M207,"")</f>
        <v/>
      </c>
    </row>
    <row r="208" customFormat="false" ht="15" hidden="false" customHeight="false" outlineLevel="0" collapsed="false">
      <c r="A208" s="37" t="str">
        <f aca="false">IF(B208="","",ROW()-3)</f>
        <v/>
      </c>
      <c r="B208" s="38"/>
      <c r="C208" s="39"/>
      <c r="D208" s="39"/>
      <c r="E208" s="39"/>
      <c r="F208" s="39"/>
      <c r="G208" s="40"/>
      <c r="H208" s="39"/>
      <c r="I208" s="40" t="n">
        <f aca="false">IF(F208="",0,F208*G208)</f>
        <v>0</v>
      </c>
      <c r="J208" s="39"/>
      <c r="K208" s="39"/>
      <c r="L208" s="39"/>
      <c r="M208" s="39"/>
      <c r="N208" s="40" t="str">
        <f aca="false">IF(AND(M208&lt;&gt;"",F208&lt;&gt;""),F208*M208,"")</f>
        <v/>
      </c>
    </row>
    <row r="209" customFormat="false" ht="15" hidden="false" customHeight="false" outlineLevel="0" collapsed="false">
      <c r="A209" s="41" t="str">
        <f aca="false">IF(B209="","",ROW()-3)</f>
        <v/>
      </c>
      <c r="B209" s="42"/>
      <c r="C209" s="43"/>
      <c r="G209" s="44"/>
      <c r="H209" s="43"/>
      <c r="I209" s="44" t="n">
        <f aca="false">IF(F209="",0,F209*G209)</f>
        <v>0</v>
      </c>
      <c r="N209" s="44" t="str">
        <f aca="false">IF(AND(M209&lt;&gt;"",F209&lt;&gt;""),F209*M209,"")</f>
        <v/>
      </c>
    </row>
    <row r="210" customFormat="false" ht="15" hidden="false" customHeight="false" outlineLevel="0" collapsed="false">
      <c r="A210" s="37" t="str">
        <f aca="false">IF(B210="","",ROW()-3)</f>
        <v/>
      </c>
      <c r="B210" s="38"/>
      <c r="C210" s="39"/>
      <c r="D210" s="39"/>
      <c r="E210" s="39"/>
      <c r="F210" s="39"/>
      <c r="G210" s="40"/>
      <c r="H210" s="39"/>
      <c r="I210" s="40" t="n">
        <f aca="false">IF(F210="",0,F210*G210)</f>
        <v>0</v>
      </c>
      <c r="J210" s="39"/>
      <c r="K210" s="39"/>
      <c r="L210" s="39"/>
      <c r="M210" s="39"/>
      <c r="N210" s="40" t="str">
        <f aca="false">IF(AND(M210&lt;&gt;"",F210&lt;&gt;""),F210*M210,"")</f>
        <v/>
      </c>
    </row>
    <row r="211" customFormat="false" ht="15" hidden="false" customHeight="false" outlineLevel="0" collapsed="false">
      <c r="A211" s="41" t="str">
        <f aca="false">IF(B211="","",ROW()-3)</f>
        <v/>
      </c>
      <c r="B211" s="42"/>
      <c r="C211" s="43"/>
      <c r="G211" s="44"/>
      <c r="H211" s="43"/>
      <c r="I211" s="44" t="n">
        <f aca="false">IF(F211="",0,F211*G211)</f>
        <v>0</v>
      </c>
      <c r="N211" s="44" t="str">
        <f aca="false">IF(AND(M211&lt;&gt;"",F211&lt;&gt;""),F211*M211,"")</f>
        <v/>
      </c>
    </row>
    <row r="212" customFormat="false" ht="15" hidden="false" customHeight="false" outlineLevel="0" collapsed="false">
      <c r="A212" s="37" t="str">
        <f aca="false">IF(B212="","",ROW()-3)</f>
        <v/>
      </c>
      <c r="B212" s="38"/>
      <c r="C212" s="39"/>
      <c r="D212" s="39"/>
      <c r="E212" s="39"/>
      <c r="F212" s="39"/>
      <c r="G212" s="40"/>
      <c r="H212" s="39"/>
      <c r="I212" s="40" t="n">
        <f aca="false">IF(F212="",0,F212*G212)</f>
        <v>0</v>
      </c>
      <c r="J212" s="39"/>
      <c r="K212" s="39"/>
      <c r="L212" s="39"/>
      <c r="M212" s="39"/>
      <c r="N212" s="40" t="str">
        <f aca="false">IF(AND(M212&lt;&gt;"",F212&lt;&gt;""),F212*M212,"")</f>
        <v/>
      </c>
    </row>
    <row r="213" customFormat="false" ht="15" hidden="false" customHeight="false" outlineLevel="0" collapsed="false">
      <c r="A213" s="41" t="str">
        <f aca="false">IF(B213="","",ROW()-3)</f>
        <v/>
      </c>
      <c r="B213" s="42"/>
      <c r="C213" s="43"/>
      <c r="G213" s="44"/>
      <c r="H213" s="43"/>
      <c r="I213" s="44" t="n">
        <f aca="false">IF(F213="",0,F213*G213)</f>
        <v>0</v>
      </c>
      <c r="N213" s="44" t="str">
        <f aca="false">IF(AND(M213&lt;&gt;"",F213&lt;&gt;""),F213*M213,"")</f>
        <v/>
      </c>
    </row>
    <row r="214" customFormat="false" ht="15" hidden="false" customHeight="false" outlineLevel="0" collapsed="false">
      <c r="A214" s="37" t="str">
        <f aca="false">IF(B214="","",ROW()-3)</f>
        <v/>
      </c>
      <c r="B214" s="38"/>
      <c r="C214" s="39"/>
      <c r="D214" s="39"/>
      <c r="E214" s="39"/>
      <c r="F214" s="39"/>
      <c r="G214" s="40"/>
      <c r="H214" s="39"/>
      <c r="I214" s="40" t="n">
        <f aca="false">IF(F214="",0,F214*G214)</f>
        <v>0</v>
      </c>
      <c r="J214" s="39"/>
      <c r="K214" s="39"/>
      <c r="L214" s="39"/>
      <c r="M214" s="39"/>
      <c r="N214" s="40" t="str">
        <f aca="false">IF(AND(M214&lt;&gt;"",F214&lt;&gt;""),F214*M214,"")</f>
        <v/>
      </c>
    </row>
    <row r="215" customFormat="false" ht="15" hidden="false" customHeight="false" outlineLevel="0" collapsed="false">
      <c r="A215" s="41" t="str">
        <f aca="false">IF(B215="","",ROW()-3)</f>
        <v/>
      </c>
      <c r="B215" s="42"/>
      <c r="C215" s="43"/>
      <c r="G215" s="44"/>
      <c r="H215" s="43"/>
      <c r="I215" s="44" t="n">
        <f aca="false">IF(F215="",0,F215*G215)</f>
        <v>0</v>
      </c>
      <c r="N215" s="44" t="str">
        <f aca="false">IF(AND(M215&lt;&gt;"",F215&lt;&gt;""),F215*M215,"")</f>
        <v/>
      </c>
    </row>
    <row r="216" customFormat="false" ht="15" hidden="false" customHeight="false" outlineLevel="0" collapsed="false">
      <c r="A216" s="37" t="str">
        <f aca="false">IF(B216="","",ROW()-3)</f>
        <v/>
      </c>
      <c r="B216" s="38"/>
      <c r="C216" s="39"/>
      <c r="D216" s="39"/>
      <c r="E216" s="39"/>
      <c r="F216" s="39"/>
      <c r="G216" s="40"/>
      <c r="H216" s="39"/>
      <c r="I216" s="40" t="n">
        <f aca="false">IF(F216="",0,F216*G216)</f>
        <v>0</v>
      </c>
      <c r="J216" s="39"/>
      <c r="K216" s="39"/>
      <c r="L216" s="39"/>
      <c r="M216" s="39"/>
      <c r="N216" s="40" t="str">
        <f aca="false">IF(AND(M216&lt;&gt;"",F216&lt;&gt;""),F216*M216,"")</f>
        <v/>
      </c>
    </row>
    <row r="217" customFormat="false" ht="15" hidden="false" customHeight="false" outlineLevel="0" collapsed="false">
      <c r="A217" s="41" t="str">
        <f aca="false">IF(B217="","",ROW()-3)</f>
        <v/>
      </c>
      <c r="B217" s="42"/>
      <c r="C217" s="43"/>
      <c r="G217" s="44"/>
      <c r="H217" s="43"/>
      <c r="I217" s="44" t="n">
        <f aca="false">IF(F217="",0,F217*G217)</f>
        <v>0</v>
      </c>
      <c r="N217" s="44" t="str">
        <f aca="false">IF(AND(M217&lt;&gt;"",F217&lt;&gt;""),F217*M217,"")</f>
        <v/>
      </c>
    </row>
    <row r="218" customFormat="false" ht="15" hidden="false" customHeight="false" outlineLevel="0" collapsed="false">
      <c r="A218" s="37" t="str">
        <f aca="false">IF(B218="","",ROW()-3)</f>
        <v/>
      </c>
      <c r="B218" s="38"/>
      <c r="C218" s="39"/>
      <c r="D218" s="39"/>
      <c r="E218" s="39"/>
      <c r="F218" s="39"/>
      <c r="G218" s="40"/>
      <c r="H218" s="39"/>
      <c r="I218" s="40" t="n">
        <f aca="false">IF(F218="",0,F218*G218)</f>
        <v>0</v>
      </c>
      <c r="J218" s="39"/>
      <c r="K218" s="39"/>
      <c r="L218" s="39"/>
      <c r="M218" s="39"/>
      <c r="N218" s="40" t="str">
        <f aca="false">IF(AND(M218&lt;&gt;"",F218&lt;&gt;""),F218*M218,"")</f>
        <v/>
      </c>
    </row>
    <row r="219" customFormat="false" ht="15" hidden="false" customHeight="false" outlineLevel="0" collapsed="false">
      <c r="A219" s="41" t="str">
        <f aca="false">IF(B219="","",ROW()-3)</f>
        <v/>
      </c>
      <c r="B219" s="42"/>
      <c r="C219" s="43"/>
      <c r="G219" s="44"/>
      <c r="H219" s="43"/>
      <c r="I219" s="44" t="n">
        <f aca="false">IF(F219="",0,F219*G219)</f>
        <v>0</v>
      </c>
      <c r="N219" s="44" t="str">
        <f aca="false">IF(AND(M219&lt;&gt;"",F219&lt;&gt;""),F219*M219,"")</f>
        <v/>
      </c>
    </row>
    <row r="220" customFormat="false" ht="15" hidden="false" customHeight="false" outlineLevel="0" collapsed="false">
      <c r="A220" s="37" t="str">
        <f aca="false">IF(B220="","",ROW()-3)</f>
        <v/>
      </c>
      <c r="B220" s="38"/>
      <c r="C220" s="39"/>
      <c r="D220" s="39"/>
      <c r="E220" s="39"/>
      <c r="F220" s="39"/>
      <c r="G220" s="40"/>
      <c r="H220" s="39"/>
      <c r="I220" s="40" t="n">
        <f aca="false">IF(F220="",0,F220*G220)</f>
        <v>0</v>
      </c>
      <c r="J220" s="39"/>
      <c r="K220" s="39"/>
      <c r="L220" s="39"/>
      <c r="M220" s="39"/>
      <c r="N220" s="40" t="str">
        <f aca="false">IF(AND(M220&lt;&gt;"",F220&lt;&gt;""),F220*M220,"")</f>
        <v/>
      </c>
    </row>
    <row r="221" customFormat="false" ht="15" hidden="false" customHeight="false" outlineLevel="0" collapsed="false">
      <c r="A221" s="41" t="str">
        <f aca="false">IF(B221="","",ROW()-3)</f>
        <v/>
      </c>
      <c r="B221" s="42"/>
      <c r="C221" s="43"/>
      <c r="G221" s="44"/>
      <c r="H221" s="43"/>
      <c r="I221" s="44" t="n">
        <f aca="false">IF(F221="",0,F221*G221)</f>
        <v>0</v>
      </c>
      <c r="N221" s="44" t="str">
        <f aca="false">IF(AND(M221&lt;&gt;"",F221&lt;&gt;""),F221*M221,"")</f>
        <v/>
      </c>
    </row>
    <row r="222" customFormat="false" ht="15" hidden="false" customHeight="false" outlineLevel="0" collapsed="false">
      <c r="A222" s="37" t="str">
        <f aca="false">IF(B222="","",ROW()-3)</f>
        <v/>
      </c>
      <c r="B222" s="38"/>
      <c r="C222" s="39"/>
      <c r="D222" s="39"/>
      <c r="E222" s="39"/>
      <c r="F222" s="39"/>
      <c r="G222" s="40"/>
      <c r="H222" s="39"/>
      <c r="I222" s="40" t="n">
        <f aca="false">IF(F222="",0,F222*G222)</f>
        <v>0</v>
      </c>
      <c r="J222" s="39"/>
      <c r="K222" s="39"/>
      <c r="L222" s="39"/>
      <c r="M222" s="39"/>
      <c r="N222" s="40" t="str">
        <f aca="false">IF(AND(M222&lt;&gt;"",F222&lt;&gt;""),F222*M222,"")</f>
        <v/>
      </c>
    </row>
    <row r="223" customFormat="false" ht="15" hidden="false" customHeight="false" outlineLevel="0" collapsed="false">
      <c r="A223" s="41" t="str">
        <f aca="false">IF(B223="","",ROW()-3)</f>
        <v/>
      </c>
      <c r="B223" s="42"/>
      <c r="C223" s="43"/>
      <c r="G223" s="44"/>
      <c r="H223" s="43"/>
      <c r="I223" s="44" t="n">
        <f aca="false">IF(F223="",0,F223*G223)</f>
        <v>0</v>
      </c>
      <c r="N223" s="44" t="str">
        <f aca="false">IF(AND(M223&lt;&gt;"",F223&lt;&gt;""),F223*M223,"")</f>
        <v/>
      </c>
    </row>
    <row r="224" customFormat="false" ht="15" hidden="false" customHeight="false" outlineLevel="0" collapsed="false">
      <c r="A224" s="37" t="str">
        <f aca="false">IF(B224="","",ROW()-3)</f>
        <v/>
      </c>
      <c r="B224" s="38"/>
      <c r="C224" s="39"/>
      <c r="D224" s="39"/>
      <c r="E224" s="39"/>
      <c r="F224" s="39"/>
      <c r="G224" s="40"/>
      <c r="H224" s="39"/>
      <c r="I224" s="40" t="n">
        <f aca="false">IF(F224="",0,F224*G224)</f>
        <v>0</v>
      </c>
      <c r="J224" s="39"/>
      <c r="K224" s="39"/>
      <c r="L224" s="39"/>
      <c r="M224" s="39"/>
      <c r="N224" s="40" t="str">
        <f aca="false">IF(AND(M224&lt;&gt;"",F224&lt;&gt;""),F224*M224,"")</f>
        <v/>
      </c>
    </row>
    <row r="225" customFormat="false" ht="15" hidden="false" customHeight="false" outlineLevel="0" collapsed="false">
      <c r="A225" s="41" t="str">
        <f aca="false">IF(B225="","",ROW()-3)</f>
        <v/>
      </c>
      <c r="B225" s="42"/>
      <c r="C225" s="43"/>
      <c r="G225" s="44"/>
      <c r="H225" s="43"/>
      <c r="I225" s="44" t="n">
        <f aca="false">IF(F225="",0,F225*G225)</f>
        <v>0</v>
      </c>
      <c r="N225" s="44" t="str">
        <f aca="false">IF(AND(M225&lt;&gt;"",F225&lt;&gt;""),F225*M225,"")</f>
        <v/>
      </c>
    </row>
    <row r="226" customFormat="false" ht="15" hidden="false" customHeight="false" outlineLevel="0" collapsed="false">
      <c r="A226" s="37" t="str">
        <f aca="false">IF(B226="","",ROW()-3)</f>
        <v/>
      </c>
      <c r="B226" s="38"/>
      <c r="C226" s="39"/>
      <c r="D226" s="39"/>
      <c r="E226" s="39"/>
      <c r="F226" s="39"/>
      <c r="G226" s="40"/>
      <c r="H226" s="39"/>
      <c r="I226" s="40" t="n">
        <f aca="false">IF(F226="",0,F226*G226)</f>
        <v>0</v>
      </c>
      <c r="J226" s="39"/>
      <c r="K226" s="39"/>
      <c r="L226" s="39"/>
      <c r="M226" s="39"/>
      <c r="N226" s="40" t="str">
        <f aca="false">IF(AND(M226&lt;&gt;"",F226&lt;&gt;""),F226*M226,"")</f>
        <v/>
      </c>
    </row>
    <row r="227" customFormat="false" ht="15" hidden="false" customHeight="false" outlineLevel="0" collapsed="false">
      <c r="A227" s="41" t="str">
        <f aca="false">IF(B227="","",ROW()-3)</f>
        <v/>
      </c>
      <c r="B227" s="42"/>
      <c r="C227" s="43"/>
      <c r="G227" s="44"/>
      <c r="H227" s="43"/>
      <c r="I227" s="44" t="n">
        <f aca="false">IF(F227="",0,F227*G227)</f>
        <v>0</v>
      </c>
      <c r="N227" s="44" t="str">
        <f aca="false">IF(AND(M227&lt;&gt;"",F227&lt;&gt;""),F227*M227,"")</f>
        <v/>
      </c>
    </row>
    <row r="228" customFormat="false" ht="15" hidden="false" customHeight="false" outlineLevel="0" collapsed="false">
      <c r="A228" s="37" t="str">
        <f aca="false">IF(B228="","",ROW()-3)</f>
        <v/>
      </c>
      <c r="B228" s="38"/>
      <c r="C228" s="39"/>
      <c r="D228" s="39"/>
      <c r="E228" s="39"/>
      <c r="F228" s="39"/>
      <c r="G228" s="40"/>
      <c r="H228" s="39"/>
      <c r="I228" s="40" t="n">
        <f aca="false">IF(F228="",0,F228*G228)</f>
        <v>0</v>
      </c>
      <c r="J228" s="39"/>
      <c r="K228" s="39"/>
      <c r="L228" s="39"/>
      <c r="M228" s="39"/>
      <c r="N228" s="40" t="str">
        <f aca="false">IF(AND(M228&lt;&gt;"",F228&lt;&gt;""),F228*M228,"")</f>
        <v/>
      </c>
    </row>
    <row r="229" customFormat="false" ht="15" hidden="false" customHeight="false" outlineLevel="0" collapsed="false">
      <c r="A229" s="41" t="str">
        <f aca="false">IF(B229="","",ROW()-3)</f>
        <v/>
      </c>
      <c r="B229" s="42"/>
      <c r="C229" s="43"/>
      <c r="G229" s="44"/>
      <c r="H229" s="43"/>
      <c r="I229" s="44" t="n">
        <f aca="false">IF(F229="",0,F229*G229)</f>
        <v>0</v>
      </c>
      <c r="N229" s="44" t="str">
        <f aca="false">IF(AND(M229&lt;&gt;"",F229&lt;&gt;""),F229*M229,"")</f>
        <v/>
      </c>
    </row>
    <row r="230" customFormat="false" ht="15" hidden="false" customHeight="false" outlineLevel="0" collapsed="false">
      <c r="A230" s="37" t="str">
        <f aca="false">IF(B230="","",ROW()-3)</f>
        <v/>
      </c>
      <c r="B230" s="38"/>
      <c r="C230" s="39"/>
      <c r="D230" s="39"/>
      <c r="E230" s="39"/>
      <c r="F230" s="39"/>
      <c r="G230" s="40"/>
      <c r="H230" s="39"/>
      <c r="I230" s="40" t="n">
        <f aca="false">IF(F230="",0,F230*G230)</f>
        <v>0</v>
      </c>
      <c r="J230" s="39"/>
      <c r="K230" s="39"/>
      <c r="L230" s="39"/>
      <c r="M230" s="39"/>
      <c r="N230" s="40" t="str">
        <f aca="false">IF(AND(M230&lt;&gt;"",F230&lt;&gt;""),F230*M230,"")</f>
        <v/>
      </c>
    </row>
    <row r="231" customFormat="false" ht="15" hidden="false" customHeight="false" outlineLevel="0" collapsed="false">
      <c r="A231" s="41" t="str">
        <f aca="false">IF(B231="","",ROW()-3)</f>
        <v/>
      </c>
      <c r="B231" s="42"/>
      <c r="C231" s="43"/>
      <c r="G231" s="44"/>
      <c r="H231" s="43"/>
      <c r="I231" s="44" t="n">
        <f aca="false">IF(F231="",0,F231*G231)</f>
        <v>0</v>
      </c>
      <c r="N231" s="44" t="str">
        <f aca="false">IF(AND(M231&lt;&gt;"",F231&lt;&gt;""),F231*M231,"")</f>
        <v/>
      </c>
    </row>
    <row r="232" customFormat="false" ht="15" hidden="false" customHeight="false" outlineLevel="0" collapsed="false">
      <c r="A232" s="37" t="str">
        <f aca="false">IF(B232="","",ROW()-3)</f>
        <v/>
      </c>
      <c r="B232" s="38"/>
      <c r="C232" s="39"/>
      <c r="D232" s="39"/>
      <c r="E232" s="39"/>
      <c r="F232" s="39"/>
      <c r="G232" s="40"/>
      <c r="H232" s="39"/>
      <c r="I232" s="40" t="n">
        <f aca="false">IF(F232="",0,F232*G232)</f>
        <v>0</v>
      </c>
      <c r="J232" s="39"/>
      <c r="K232" s="39"/>
      <c r="L232" s="39"/>
      <c r="M232" s="39"/>
      <c r="N232" s="40" t="str">
        <f aca="false">IF(AND(M232&lt;&gt;"",F232&lt;&gt;""),F232*M232,"")</f>
        <v/>
      </c>
    </row>
    <row r="233" customFormat="false" ht="15" hidden="false" customHeight="false" outlineLevel="0" collapsed="false">
      <c r="A233" s="41" t="str">
        <f aca="false">IF(B233="","",ROW()-3)</f>
        <v/>
      </c>
      <c r="B233" s="42"/>
      <c r="C233" s="43"/>
      <c r="G233" s="44"/>
      <c r="H233" s="43"/>
      <c r="I233" s="44" t="n">
        <f aca="false">IF(F233="",0,F233*G233)</f>
        <v>0</v>
      </c>
      <c r="N233" s="44" t="str">
        <f aca="false">IF(AND(M233&lt;&gt;"",F233&lt;&gt;""),F233*M233,"")</f>
        <v/>
      </c>
    </row>
    <row r="234" customFormat="false" ht="15" hidden="false" customHeight="false" outlineLevel="0" collapsed="false">
      <c r="A234" s="37" t="str">
        <f aca="false">IF(B234="","",ROW()-3)</f>
        <v/>
      </c>
      <c r="B234" s="38"/>
      <c r="C234" s="39"/>
      <c r="D234" s="39"/>
      <c r="E234" s="39"/>
      <c r="F234" s="39"/>
      <c r="G234" s="40"/>
      <c r="H234" s="39"/>
      <c r="I234" s="40" t="n">
        <f aca="false">IF(F234="",0,F234*G234)</f>
        <v>0</v>
      </c>
      <c r="J234" s="39"/>
      <c r="K234" s="39"/>
      <c r="L234" s="39"/>
      <c r="M234" s="39"/>
      <c r="N234" s="40" t="str">
        <f aca="false">IF(AND(M234&lt;&gt;"",F234&lt;&gt;""),F234*M234,"")</f>
        <v/>
      </c>
    </row>
    <row r="235" customFormat="false" ht="15" hidden="false" customHeight="false" outlineLevel="0" collapsed="false">
      <c r="A235" s="41" t="str">
        <f aca="false">IF(B235="","",ROW()-3)</f>
        <v/>
      </c>
      <c r="B235" s="42"/>
      <c r="C235" s="43"/>
      <c r="G235" s="44"/>
      <c r="H235" s="43"/>
      <c r="I235" s="44" t="n">
        <f aca="false">IF(F235="",0,F235*G235)</f>
        <v>0</v>
      </c>
      <c r="N235" s="44" t="str">
        <f aca="false">IF(AND(M235&lt;&gt;"",F235&lt;&gt;""),F235*M235,"")</f>
        <v/>
      </c>
    </row>
    <row r="236" customFormat="false" ht="15" hidden="false" customHeight="false" outlineLevel="0" collapsed="false">
      <c r="A236" s="37" t="str">
        <f aca="false">IF(B236="","",ROW()-3)</f>
        <v/>
      </c>
      <c r="B236" s="38"/>
      <c r="C236" s="39"/>
      <c r="D236" s="39"/>
      <c r="E236" s="39"/>
      <c r="F236" s="39"/>
      <c r="G236" s="40"/>
      <c r="H236" s="39"/>
      <c r="I236" s="40" t="n">
        <f aca="false">IF(F236="",0,F236*G236)</f>
        <v>0</v>
      </c>
      <c r="J236" s="39"/>
      <c r="K236" s="39"/>
      <c r="L236" s="39"/>
      <c r="M236" s="39"/>
      <c r="N236" s="40" t="str">
        <f aca="false">IF(AND(M236&lt;&gt;"",F236&lt;&gt;""),F236*M236,"")</f>
        <v/>
      </c>
    </row>
    <row r="237" customFormat="false" ht="15" hidden="false" customHeight="false" outlineLevel="0" collapsed="false">
      <c r="A237" s="41" t="str">
        <f aca="false">IF(B237="","",ROW()-3)</f>
        <v/>
      </c>
      <c r="B237" s="42"/>
      <c r="C237" s="43"/>
      <c r="G237" s="44"/>
      <c r="H237" s="43"/>
      <c r="I237" s="44" t="n">
        <f aca="false">IF(F237="",0,F237*G237)</f>
        <v>0</v>
      </c>
      <c r="N237" s="44" t="str">
        <f aca="false">IF(AND(M237&lt;&gt;"",F237&lt;&gt;""),F237*M237,"")</f>
        <v/>
      </c>
    </row>
    <row r="238" customFormat="false" ht="15" hidden="false" customHeight="false" outlineLevel="0" collapsed="false">
      <c r="A238" s="37" t="str">
        <f aca="false">IF(B238="","",ROW()-3)</f>
        <v/>
      </c>
      <c r="B238" s="38"/>
      <c r="C238" s="39"/>
      <c r="D238" s="39"/>
      <c r="E238" s="39"/>
      <c r="F238" s="39"/>
      <c r="G238" s="40"/>
      <c r="H238" s="39"/>
      <c r="I238" s="40" t="n">
        <f aca="false">IF(F238="",0,F238*G238)</f>
        <v>0</v>
      </c>
      <c r="J238" s="39"/>
      <c r="K238" s="39"/>
      <c r="L238" s="39"/>
      <c r="M238" s="39"/>
      <c r="N238" s="40" t="str">
        <f aca="false">IF(AND(M238&lt;&gt;"",F238&lt;&gt;""),F238*M238,"")</f>
        <v/>
      </c>
    </row>
    <row r="239" customFormat="false" ht="15" hidden="false" customHeight="false" outlineLevel="0" collapsed="false">
      <c r="A239" s="41" t="str">
        <f aca="false">IF(B239="","",ROW()-3)</f>
        <v/>
      </c>
      <c r="B239" s="42"/>
      <c r="C239" s="43"/>
      <c r="G239" s="44"/>
      <c r="H239" s="43"/>
      <c r="I239" s="44" t="n">
        <f aca="false">IF(F239="",0,F239*G239)</f>
        <v>0</v>
      </c>
      <c r="N239" s="44" t="str">
        <f aca="false">IF(AND(M239&lt;&gt;"",F239&lt;&gt;""),F239*M239,"")</f>
        <v/>
      </c>
    </row>
    <row r="240" customFormat="false" ht="15" hidden="false" customHeight="false" outlineLevel="0" collapsed="false">
      <c r="A240" s="37" t="str">
        <f aca="false">IF(B240="","",ROW()-3)</f>
        <v/>
      </c>
      <c r="B240" s="38"/>
      <c r="C240" s="39"/>
      <c r="D240" s="39"/>
      <c r="E240" s="39"/>
      <c r="F240" s="39"/>
      <c r="G240" s="40"/>
      <c r="H240" s="39"/>
      <c r="I240" s="40" t="n">
        <f aca="false">IF(F240="",0,F240*G240)</f>
        <v>0</v>
      </c>
      <c r="J240" s="39"/>
      <c r="K240" s="39"/>
      <c r="L240" s="39"/>
      <c r="M240" s="39"/>
      <c r="N240" s="40" t="str">
        <f aca="false">IF(AND(M240&lt;&gt;"",F240&lt;&gt;""),F240*M240,"")</f>
        <v/>
      </c>
    </row>
    <row r="241" customFormat="false" ht="15" hidden="false" customHeight="false" outlineLevel="0" collapsed="false">
      <c r="A241" s="41" t="str">
        <f aca="false">IF(B241="","",ROW()-3)</f>
        <v/>
      </c>
      <c r="B241" s="42"/>
      <c r="C241" s="43"/>
      <c r="G241" s="44"/>
      <c r="H241" s="43"/>
      <c r="I241" s="44" t="n">
        <f aca="false">IF(F241="",0,F241*G241)</f>
        <v>0</v>
      </c>
      <c r="N241" s="44" t="str">
        <f aca="false">IF(AND(M241&lt;&gt;"",F241&lt;&gt;""),F241*M241,"")</f>
        <v/>
      </c>
    </row>
    <row r="242" customFormat="false" ht="15" hidden="false" customHeight="false" outlineLevel="0" collapsed="false">
      <c r="A242" s="37" t="str">
        <f aca="false">IF(B242="","",ROW()-3)</f>
        <v/>
      </c>
      <c r="B242" s="38"/>
      <c r="C242" s="39"/>
      <c r="D242" s="39"/>
      <c r="E242" s="39"/>
      <c r="F242" s="39"/>
      <c r="G242" s="40"/>
      <c r="H242" s="39"/>
      <c r="I242" s="40" t="n">
        <f aca="false">IF(F242="",0,F242*G242)</f>
        <v>0</v>
      </c>
      <c r="J242" s="39"/>
      <c r="K242" s="39"/>
      <c r="L242" s="39"/>
      <c r="M242" s="39"/>
      <c r="N242" s="40" t="str">
        <f aca="false">IF(AND(M242&lt;&gt;"",F242&lt;&gt;""),F242*M242,"")</f>
        <v/>
      </c>
    </row>
    <row r="243" customFormat="false" ht="15" hidden="false" customHeight="false" outlineLevel="0" collapsed="false">
      <c r="A243" s="41" t="str">
        <f aca="false">IF(B243="","",ROW()-3)</f>
        <v/>
      </c>
      <c r="B243" s="42"/>
      <c r="C243" s="43"/>
      <c r="G243" s="44"/>
      <c r="H243" s="43"/>
      <c r="I243" s="44" t="n">
        <f aca="false">IF(F243="",0,F243*G243)</f>
        <v>0</v>
      </c>
      <c r="N243" s="44" t="str">
        <f aca="false">IF(AND(M243&lt;&gt;"",F243&lt;&gt;""),F243*M243,"")</f>
        <v/>
      </c>
    </row>
    <row r="244" customFormat="false" ht="15" hidden="false" customHeight="false" outlineLevel="0" collapsed="false">
      <c r="A244" s="37" t="str">
        <f aca="false">IF(B244="","",ROW()-3)</f>
        <v/>
      </c>
      <c r="B244" s="38"/>
      <c r="C244" s="39"/>
      <c r="D244" s="39"/>
      <c r="E244" s="39"/>
      <c r="F244" s="39"/>
      <c r="G244" s="40"/>
      <c r="H244" s="39"/>
      <c r="I244" s="40" t="n">
        <f aca="false">IF(F244="",0,F244*G244)</f>
        <v>0</v>
      </c>
      <c r="J244" s="39"/>
      <c r="K244" s="39"/>
      <c r="L244" s="39"/>
      <c r="M244" s="39"/>
      <c r="N244" s="40" t="str">
        <f aca="false">IF(AND(M244&lt;&gt;"",F244&lt;&gt;""),F244*M244,"")</f>
        <v/>
      </c>
    </row>
    <row r="245" customFormat="false" ht="15" hidden="false" customHeight="false" outlineLevel="0" collapsed="false">
      <c r="A245" s="41" t="str">
        <f aca="false">IF(B245="","",ROW()-3)</f>
        <v/>
      </c>
      <c r="B245" s="42"/>
      <c r="C245" s="43"/>
      <c r="G245" s="44"/>
      <c r="H245" s="43"/>
      <c r="I245" s="44" t="n">
        <f aca="false">IF(F245="",0,F245*G245)</f>
        <v>0</v>
      </c>
      <c r="N245" s="44" t="str">
        <f aca="false">IF(AND(M245&lt;&gt;"",F245&lt;&gt;""),F245*M245,"")</f>
        <v/>
      </c>
    </row>
    <row r="246" customFormat="false" ht="15" hidden="false" customHeight="false" outlineLevel="0" collapsed="false">
      <c r="A246" s="37" t="str">
        <f aca="false">IF(B246="","",ROW()-3)</f>
        <v/>
      </c>
      <c r="B246" s="38"/>
      <c r="C246" s="39"/>
      <c r="D246" s="39"/>
      <c r="E246" s="39"/>
      <c r="F246" s="39"/>
      <c r="G246" s="40"/>
      <c r="H246" s="39"/>
      <c r="I246" s="40" t="n">
        <f aca="false">IF(F246="",0,F246*G246)</f>
        <v>0</v>
      </c>
      <c r="J246" s="39"/>
      <c r="K246" s="39"/>
      <c r="L246" s="39"/>
      <c r="M246" s="39"/>
      <c r="N246" s="40" t="str">
        <f aca="false">IF(AND(M246&lt;&gt;"",F246&lt;&gt;""),F246*M246,"")</f>
        <v/>
      </c>
    </row>
    <row r="247" customFormat="false" ht="15" hidden="false" customHeight="false" outlineLevel="0" collapsed="false">
      <c r="A247" s="41" t="str">
        <f aca="false">IF(B247="","",ROW()-3)</f>
        <v/>
      </c>
      <c r="B247" s="42"/>
      <c r="C247" s="43"/>
      <c r="G247" s="44"/>
      <c r="H247" s="43"/>
      <c r="I247" s="44" t="n">
        <f aca="false">IF(F247="",0,F247*G247)</f>
        <v>0</v>
      </c>
      <c r="N247" s="44" t="str">
        <f aca="false">IF(AND(M247&lt;&gt;"",F247&lt;&gt;""),F247*M247,"")</f>
        <v/>
      </c>
    </row>
    <row r="248" customFormat="false" ht="15" hidden="false" customHeight="false" outlineLevel="0" collapsed="false">
      <c r="A248" s="37" t="str">
        <f aca="false">IF(B248="","",ROW()-3)</f>
        <v/>
      </c>
      <c r="B248" s="38"/>
      <c r="C248" s="39"/>
      <c r="D248" s="39"/>
      <c r="E248" s="39"/>
      <c r="F248" s="39"/>
      <c r="G248" s="40"/>
      <c r="H248" s="39"/>
      <c r="I248" s="40" t="n">
        <f aca="false">IF(F248="",0,F248*G248)</f>
        <v>0</v>
      </c>
      <c r="J248" s="39"/>
      <c r="K248" s="39"/>
      <c r="L248" s="39"/>
      <c r="M248" s="39"/>
      <c r="N248" s="40" t="str">
        <f aca="false">IF(AND(M248&lt;&gt;"",F248&lt;&gt;""),F248*M248,"")</f>
        <v/>
      </c>
    </row>
    <row r="249" customFormat="false" ht="15" hidden="false" customHeight="false" outlineLevel="0" collapsed="false">
      <c r="A249" s="41" t="str">
        <f aca="false">IF(B249="","",ROW()-3)</f>
        <v/>
      </c>
      <c r="B249" s="42"/>
      <c r="C249" s="43"/>
      <c r="G249" s="44"/>
      <c r="H249" s="43"/>
      <c r="I249" s="44" t="n">
        <f aca="false">IF(F249="",0,F249*G249)</f>
        <v>0</v>
      </c>
      <c r="N249" s="44" t="str">
        <f aca="false">IF(AND(M249&lt;&gt;"",F249&lt;&gt;""),F249*M249,"")</f>
        <v/>
      </c>
    </row>
    <row r="250" customFormat="false" ht="15" hidden="false" customHeight="false" outlineLevel="0" collapsed="false">
      <c r="A250" s="37" t="str">
        <f aca="false">IF(B250="","",ROW()-3)</f>
        <v/>
      </c>
      <c r="B250" s="38"/>
      <c r="C250" s="39"/>
      <c r="D250" s="39"/>
      <c r="E250" s="39"/>
      <c r="F250" s="39"/>
      <c r="G250" s="40"/>
      <c r="H250" s="39"/>
      <c r="I250" s="40" t="n">
        <f aca="false">IF(F250="",0,F250*G250)</f>
        <v>0</v>
      </c>
      <c r="J250" s="39"/>
      <c r="K250" s="39"/>
      <c r="L250" s="39"/>
      <c r="M250" s="39"/>
      <c r="N250" s="40" t="str">
        <f aca="false">IF(AND(M250&lt;&gt;"",F250&lt;&gt;""),F250*M250,"")</f>
        <v/>
      </c>
    </row>
    <row r="251" customFormat="false" ht="15" hidden="false" customHeight="false" outlineLevel="0" collapsed="false">
      <c r="A251" s="41" t="str">
        <f aca="false">IF(B251="","",ROW()-3)</f>
        <v/>
      </c>
      <c r="B251" s="42"/>
      <c r="C251" s="43"/>
      <c r="G251" s="44"/>
      <c r="H251" s="43"/>
      <c r="I251" s="44" t="n">
        <f aca="false">IF(F251="",0,F251*G251)</f>
        <v>0</v>
      </c>
      <c r="N251" s="44" t="str">
        <f aca="false">IF(AND(M251&lt;&gt;"",F251&lt;&gt;""),F251*M251,"")</f>
        <v/>
      </c>
    </row>
    <row r="252" customFormat="false" ht="15" hidden="false" customHeight="false" outlineLevel="0" collapsed="false">
      <c r="A252" s="37" t="str">
        <f aca="false">IF(B252="","",ROW()-3)</f>
        <v/>
      </c>
      <c r="B252" s="38"/>
      <c r="C252" s="39"/>
      <c r="D252" s="39"/>
      <c r="E252" s="39"/>
      <c r="F252" s="39"/>
      <c r="G252" s="40"/>
      <c r="H252" s="39"/>
      <c r="I252" s="40" t="n">
        <f aca="false">IF(F252="",0,F252*G252)</f>
        <v>0</v>
      </c>
      <c r="J252" s="39"/>
      <c r="K252" s="39"/>
      <c r="L252" s="39"/>
      <c r="M252" s="39"/>
      <c r="N252" s="40" t="str">
        <f aca="false">IF(AND(M252&lt;&gt;"",F252&lt;&gt;""),F252*M252,"")</f>
        <v/>
      </c>
    </row>
    <row r="253" customFormat="false" ht="15" hidden="false" customHeight="false" outlineLevel="0" collapsed="false">
      <c r="A253" s="41" t="str">
        <f aca="false">IF(B253="","",ROW()-3)</f>
        <v/>
      </c>
      <c r="B253" s="42"/>
      <c r="C253" s="43"/>
      <c r="G253" s="44"/>
      <c r="H253" s="43"/>
      <c r="I253" s="44" t="n">
        <f aca="false">IF(F253="",0,F253*G253)</f>
        <v>0</v>
      </c>
      <c r="N253" s="44" t="str">
        <f aca="false">IF(AND(M253&lt;&gt;"",F253&lt;&gt;""),F253*M253,"")</f>
        <v/>
      </c>
    </row>
    <row r="254" customFormat="false" ht="15" hidden="false" customHeight="false" outlineLevel="0" collapsed="false">
      <c r="A254" s="37" t="str">
        <f aca="false">IF(B254="","",ROW()-3)</f>
        <v/>
      </c>
      <c r="B254" s="38"/>
      <c r="C254" s="39"/>
      <c r="D254" s="39"/>
      <c r="E254" s="39"/>
      <c r="F254" s="39"/>
      <c r="G254" s="40"/>
      <c r="H254" s="39"/>
      <c r="I254" s="40" t="n">
        <f aca="false">IF(F254="",0,F254*G254)</f>
        <v>0</v>
      </c>
      <c r="J254" s="39"/>
      <c r="K254" s="39"/>
      <c r="L254" s="39"/>
      <c r="M254" s="39"/>
      <c r="N254" s="40" t="str">
        <f aca="false">IF(AND(M254&lt;&gt;"",F254&lt;&gt;""),F254*M254,"")</f>
        <v/>
      </c>
    </row>
    <row r="255" customFormat="false" ht="15" hidden="false" customHeight="false" outlineLevel="0" collapsed="false">
      <c r="A255" s="41" t="str">
        <f aca="false">IF(B255="","",ROW()-3)</f>
        <v/>
      </c>
      <c r="B255" s="42"/>
      <c r="C255" s="43"/>
      <c r="G255" s="44"/>
      <c r="H255" s="43"/>
      <c r="I255" s="44" t="n">
        <f aca="false">IF(F255="",0,F255*G255)</f>
        <v>0</v>
      </c>
      <c r="N255" s="44" t="str">
        <f aca="false">IF(AND(M255&lt;&gt;"",F255&lt;&gt;""),F255*M255,"")</f>
        <v/>
      </c>
    </row>
    <row r="256" customFormat="false" ht="15" hidden="false" customHeight="false" outlineLevel="0" collapsed="false">
      <c r="A256" s="37" t="str">
        <f aca="false">IF(B256="","",ROW()-3)</f>
        <v/>
      </c>
      <c r="B256" s="38"/>
      <c r="C256" s="39"/>
      <c r="D256" s="39"/>
      <c r="E256" s="39"/>
      <c r="F256" s="39"/>
      <c r="G256" s="40"/>
      <c r="H256" s="39"/>
      <c r="I256" s="40" t="n">
        <f aca="false">IF(F256="",0,F256*G256)</f>
        <v>0</v>
      </c>
      <c r="J256" s="39"/>
      <c r="K256" s="39"/>
      <c r="L256" s="39"/>
      <c r="M256" s="39"/>
      <c r="N256" s="40" t="str">
        <f aca="false">IF(AND(M256&lt;&gt;"",F256&lt;&gt;""),F256*M256,"")</f>
        <v/>
      </c>
    </row>
    <row r="257" customFormat="false" ht="15" hidden="false" customHeight="false" outlineLevel="0" collapsed="false">
      <c r="A257" s="41" t="str">
        <f aca="false">IF(B257="","",ROW()-3)</f>
        <v/>
      </c>
      <c r="B257" s="42"/>
      <c r="C257" s="43"/>
      <c r="G257" s="44"/>
      <c r="H257" s="43"/>
      <c r="I257" s="44" t="n">
        <f aca="false">IF(F257="",0,F257*G257)</f>
        <v>0</v>
      </c>
      <c r="N257" s="44" t="str">
        <f aca="false">IF(AND(M257&lt;&gt;"",F257&lt;&gt;""),F257*M257,"")</f>
        <v/>
      </c>
    </row>
    <row r="258" customFormat="false" ht="15" hidden="false" customHeight="false" outlineLevel="0" collapsed="false">
      <c r="A258" s="37" t="str">
        <f aca="false">IF(B258="","",ROW()-3)</f>
        <v/>
      </c>
      <c r="B258" s="38"/>
      <c r="C258" s="39"/>
      <c r="D258" s="39"/>
      <c r="E258" s="39"/>
      <c r="F258" s="39"/>
      <c r="G258" s="40"/>
      <c r="H258" s="39"/>
      <c r="I258" s="40" t="n">
        <f aca="false">IF(F258="",0,F258*G258)</f>
        <v>0</v>
      </c>
      <c r="J258" s="39"/>
      <c r="K258" s="39"/>
      <c r="L258" s="39"/>
      <c r="M258" s="39"/>
      <c r="N258" s="40" t="str">
        <f aca="false">IF(AND(M258&lt;&gt;"",F258&lt;&gt;""),F258*M258,"")</f>
        <v/>
      </c>
    </row>
    <row r="259" customFormat="false" ht="15" hidden="false" customHeight="false" outlineLevel="0" collapsed="false">
      <c r="A259" s="41" t="str">
        <f aca="false">IF(B259="","",ROW()-3)</f>
        <v/>
      </c>
      <c r="B259" s="42"/>
      <c r="C259" s="43"/>
      <c r="G259" s="44"/>
      <c r="H259" s="43"/>
      <c r="I259" s="44" t="n">
        <f aca="false">IF(F259="",0,F259*G259)</f>
        <v>0</v>
      </c>
      <c r="N259" s="44" t="str">
        <f aca="false">IF(AND(M259&lt;&gt;"",F259&lt;&gt;""),F259*M259,"")</f>
        <v/>
      </c>
    </row>
    <row r="260" customFormat="false" ht="15" hidden="false" customHeight="false" outlineLevel="0" collapsed="false">
      <c r="A260" s="37" t="str">
        <f aca="false">IF(B260="","",ROW()-3)</f>
        <v/>
      </c>
      <c r="B260" s="38"/>
      <c r="C260" s="39"/>
      <c r="D260" s="39"/>
      <c r="E260" s="39"/>
      <c r="F260" s="39"/>
      <c r="G260" s="40"/>
      <c r="H260" s="39"/>
      <c r="I260" s="40" t="n">
        <f aca="false">IF(F260="",0,F260*G260)</f>
        <v>0</v>
      </c>
      <c r="J260" s="39"/>
      <c r="K260" s="39"/>
      <c r="L260" s="39"/>
      <c r="M260" s="39"/>
      <c r="N260" s="40" t="str">
        <f aca="false">IF(AND(M260&lt;&gt;"",F260&lt;&gt;""),F260*M260,"")</f>
        <v/>
      </c>
    </row>
    <row r="261" customFormat="false" ht="15" hidden="false" customHeight="false" outlineLevel="0" collapsed="false">
      <c r="A261" s="41" t="str">
        <f aca="false">IF(B261="","",ROW()-3)</f>
        <v/>
      </c>
      <c r="B261" s="42"/>
      <c r="C261" s="43"/>
      <c r="G261" s="44"/>
      <c r="H261" s="43"/>
      <c r="I261" s="44" t="n">
        <f aca="false">IF(F261="",0,F261*G261)</f>
        <v>0</v>
      </c>
      <c r="N261" s="44" t="str">
        <f aca="false">IF(AND(M261&lt;&gt;"",F261&lt;&gt;""),F261*M261,"")</f>
        <v/>
      </c>
    </row>
    <row r="262" customFormat="false" ht="15" hidden="false" customHeight="false" outlineLevel="0" collapsed="false">
      <c r="A262" s="37" t="str">
        <f aca="false">IF(B262="","",ROW()-3)</f>
        <v/>
      </c>
      <c r="B262" s="38"/>
      <c r="C262" s="39"/>
      <c r="D262" s="39"/>
      <c r="E262" s="39"/>
      <c r="F262" s="39"/>
      <c r="G262" s="40"/>
      <c r="H262" s="39"/>
      <c r="I262" s="40" t="n">
        <f aca="false">IF(F262="",0,F262*G262)</f>
        <v>0</v>
      </c>
      <c r="J262" s="39"/>
      <c r="K262" s="39"/>
      <c r="L262" s="39"/>
      <c r="M262" s="39"/>
      <c r="N262" s="40" t="str">
        <f aca="false">IF(AND(M262&lt;&gt;"",F262&lt;&gt;""),F262*M262,"")</f>
        <v/>
      </c>
    </row>
    <row r="263" customFormat="false" ht="15" hidden="false" customHeight="false" outlineLevel="0" collapsed="false">
      <c r="A263" s="41" t="str">
        <f aca="false">IF(B263="","",ROW()-3)</f>
        <v/>
      </c>
      <c r="B263" s="42"/>
      <c r="C263" s="43"/>
      <c r="G263" s="44"/>
      <c r="H263" s="43"/>
      <c r="I263" s="44" t="n">
        <f aca="false">IF(F263="",0,F263*G263)</f>
        <v>0</v>
      </c>
      <c r="N263" s="44" t="str">
        <f aca="false">IF(AND(M263&lt;&gt;"",F263&lt;&gt;""),F263*M263,"")</f>
        <v/>
      </c>
    </row>
    <row r="264" customFormat="false" ht="15" hidden="false" customHeight="false" outlineLevel="0" collapsed="false">
      <c r="A264" s="37" t="str">
        <f aca="false">IF(B264="","",ROW()-3)</f>
        <v/>
      </c>
      <c r="B264" s="38"/>
      <c r="C264" s="39"/>
      <c r="D264" s="39"/>
      <c r="E264" s="39"/>
      <c r="F264" s="39"/>
      <c r="G264" s="40"/>
      <c r="H264" s="39"/>
      <c r="I264" s="40" t="n">
        <f aca="false">IF(F264="",0,F264*G264)</f>
        <v>0</v>
      </c>
      <c r="J264" s="39"/>
      <c r="K264" s="39"/>
      <c r="L264" s="39"/>
      <c r="M264" s="39"/>
      <c r="N264" s="40" t="str">
        <f aca="false">IF(AND(M264&lt;&gt;"",F264&lt;&gt;""),F264*M264,"")</f>
        <v/>
      </c>
    </row>
    <row r="265" customFormat="false" ht="15" hidden="false" customHeight="false" outlineLevel="0" collapsed="false">
      <c r="A265" s="41" t="str">
        <f aca="false">IF(B265="","",ROW()-3)</f>
        <v/>
      </c>
      <c r="B265" s="42"/>
      <c r="C265" s="43"/>
      <c r="G265" s="44"/>
      <c r="H265" s="43"/>
      <c r="I265" s="44" t="n">
        <f aca="false">IF(F265="",0,F265*G265)</f>
        <v>0</v>
      </c>
      <c r="N265" s="44" t="str">
        <f aca="false">IF(AND(M265&lt;&gt;"",F265&lt;&gt;""),F265*M265,"")</f>
        <v/>
      </c>
    </row>
    <row r="266" customFormat="false" ht="15" hidden="false" customHeight="false" outlineLevel="0" collapsed="false">
      <c r="A266" s="37" t="str">
        <f aca="false">IF(B266="","",ROW()-3)</f>
        <v/>
      </c>
      <c r="B266" s="38"/>
      <c r="C266" s="39"/>
      <c r="D266" s="39"/>
      <c r="E266" s="39"/>
      <c r="F266" s="39"/>
      <c r="G266" s="40"/>
      <c r="H266" s="39"/>
      <c r="I266" s="40" t="n">
        <f aca="false">IF(F266="",0,F266*G266)</f>
        <v>0</v>
      </c>
      <c r="J266" s="39"/>
      <c r="K266" s="39"/>
      <c r="L266" s="39"/>
      <c r="M266" s="39"/>
      <c r="N266" s="40" t="str">
        <f aca="false">IF(AND(M266&lt;&gt;"",F266&lt;&gt;""),F266*M266,"")</f>
        <v/>
      </c>
    </row>
    <row r="267" customFormat="false" ht="15" hidden="false" customHeight="false" outlineLevel="0" collapsed="false">
      <c r="A267" s="41" t="str">
        <f aca="false">IF(B267="","",ROW()-3)</f>
        <v/>
      </c>
      <c r="B267" s="42"/>
      <c r="C267" s="43"/>
      <c r="G267" s="44"/>
      <c r="H267" s="43"/>
      <c r="I267" s="44" t="n">
        <f aca="false">IF(F267="",0,F267*G267)</f>
        <v>0</v>
      </c>
      <c r="N267" s="44" t="str">
        <f aca="false">IF(AND(M267&lt;&gt;"",F267&lt;&gt;""),F267*M267,"")</f>
        <v/>
      </c>
    </row>
    <row r="268" customFormat="false" ht="15" hidden="false" customHeight="false" outlineLevel="0" collapsed="false">
      <c r="A268" s="37" t="str">
        <f aca="false">IF(B268="","",ROW()-3)</f>
        <v/>
      </c>
      <c r="B268" s="38"/>
      <c r="C268" s="39"/>
      <c r="D268" s="39"/>
      <c r="E268" s="39"/>
      <c r="F268" s="39"/>
      <c r="G268" s="40"/>
      <c r="H268" s="39"/>
      <c r="I268" s="40" t="n">
        <f aca="false">IF(F268="",0,F268*G268)</f>
        <v>0</v>
      </c>
      <c r="J268" s="39"/>
      <c r="K268" s="39"/>
      <c r="L268" s="39"/>
      <c r="M268" s="39"/>
      <c r="N268" s="40" t="str">
        <f aca="false">IF(AND(M268&lt;&gt;"",F268&lt;&gt;""),F268*M268,"")</f>
        <v/>
      </c>
    </row>
    <row r="269" customFormat="false" ht="15" hidden="false" customHeight="false" outlineLevel="0" collapsed="false">
      <c r="A269" s="41" t="str">
        <f aca="false">IF(B269="","",ROW()-3)</f>
        <v/>
      </c>
      <c r="B269" s="42"/>
      <c r="C269" s="43"/>
      <c r="G269" s="44"/>
      <c r="H269" s="43"/>
      <c r="I269" s="44" t="n">
        <f aca="false">IF(F269="",0,F269*G269)</f>
        <v>0</v>
      </c>
      <c r="N269" s="44" t="str">
        <f aca="false">IF(AND(M269&lt;&gt;"",F269&lt;&gt;""),F269*M269,"")</f>
        <v/>
      </c>
    </row>
    <row r="270" customFormat="false" ht="15" hidden="false" customHeight="false" outlineLevel="0" collapsed="false">
      <c r="A270" s="37" t="str">
        <f aca="false">IF(B270="","",ROW()-3)</f>
        <v/>
      </c>
      <c r="B270" s="38"/>
      <c r="C270" s="39"/>
      <c r="D270" s="39"/>
      <c r="E270" s="39"/>
      <c r="F270" s="39"/>
      <c r="G270" s="40"/>
      <c r="H270" s="39"/>
      <c r="I270" s="40" t="n">
        <f aca="false">IF(F270="",0,F270*G270)</f>
        <v>0</v>
      </c>
      <c r="J270" s="39"/>
      <c r="K270" s="39"/>
      <c r="L270" s="39"/>
      <c r="M270" s="39"/>
      <c r="N270" s="40" t="str">
        <f aca="false">IF(AND(M270&lt;&gt;"",F270&lt;&gt;""),F270*M270,"")</f>
        <v/>
      </c>
    </row>
    <row r="271" customFormat="false" ht="15" hidden="false" customHeight="false" outlineLevel="0" collapsed="false">
      <c r="A271" s="41" t="str">
        <f aca="false">IF(B271="","",ROW()-3)</f>
        <v/>
      </c>
      <c r="B271" s="42"/>
      <c r="C271" s="43"/>
      <c r="G271" s="44"/>
      <c r="H271" s="43"/>
      <c r="I271" s="44" t="n">
        <f aca="false">IF(F271="",0,F271*G271)</f>
        <v>0</v>
      </c>
      <c r="N271" s="44" t="str">
        <f aca="false">IF(AND(M271&lt;&gt;"",F271&lt;&gt;""),F271*M271,"")</f>
        <v/>
      </c>
    </row>
    <row r="272" customFormat="false" ht="15" hidden="false" customHeight="false" outlineLevel="0" collapsed="false">
      <c r="A272" s="37" t="str">
        <f aca="false">IF(B272="","",ROW()-3)</f>
        <v/>
      </c>
      <c r="B272" s="38"/>
      <c r="C272" s="39"/>
      <c r="D272" s="39"/>
      <c r="E272" s="39"/>
      <c r="F272" s="39"/>
      <c r="G272" s="40"/>
      <c r="H272" s="39"/>
      <c r="I272" s="40" t="n">
        <f aca="false">IF(F272="",0,F272*G272)</f>
        <v>0</v>
      </c>
      <c r="J272" s="39"/>
      <c r="K272" s="39"/>
      <c r="L272" s="39"/>
      <c r="M272" s="39"/>
      <c r="N272" s="40" t="str">
        <f aca="false">IF(AND(M272&lt;&gt;"",F272&lt;&gt;""),F272*M272,"")</f>
        <v/>
      </c>
    </row>
    <row r="273" customFormat="false" ht="15" hidden="false" customHeight="false" outlineLevel="0" collapsed="false">
      <c r="A273" s="41" t="str">
        <f aca="false">IF(B273="","",ROW()-3)</f>
        <v/>
      </c>
      <c r="B273" s="42"/>
      <c r="C273" s="43"/>
      <c r="G273" s="44"/>
      <c r="H273" s="43"/>
      <c r="I273" s="44" t="n">
        <f aca="false">IF(F273="",0,F273*G273)</f>
        <v>0</v>
      </c>
      <c r="N273" s="44" t="str">
        <f aca="false">IF(AND(M273&lt;&gt;"",F273&lt;&gt;""),F273*M273,"")</f>
        <v/>
      </c>
    </row>
    <row r="274" customFormat="false" ht="15" hidden="false" customHeight="false" outlineLevel="0" collapsed="false">
      <c r="A274" s="37" t="str">
        <f aca="false">IF(B274="","",ROW()-3)</f>
        <v/>
      </c>
      <c r="B274" s="38"/>
      <c r="C274" s="39"/>
      <c r="D274" s="39"/>
      <c r="E274" s="39"/>
      <c r="F274" s="39"/>
      <c r="G274" s="40"/>
      <c r="H274" s="39"/>
      <c r="I274" s="40" t="n">
        <f aca="false">IF(F274="",0,F274*G274)</f>
        <v>0</v>
      </c>
      <c r="J274" s="39"/>
      <c r="K274" s="39"/>
      <c r="L274" s="39"/>
      <c r="M274" s="39"/>
      <c r="N274" s="40" t="str">
        <f aca="false">IF(AND(M274&lt;&gt;"",F274&lt;&gt;""),F274*M274,"")</f>
        <v/>
      </c>
    </row>
    <row r="275" customFormat="false" ht="15" hidden="false" customHeight="false" outlineLevel="0" collapsed="false">
      <c r="A275" s="41" t="str">
        <f aca="false">IF(B275="","",ROW()-3)</f>
        <v/>
      </c>
      <c r="B275" s="42"/>
      <c r="C275" s="43"/>
      <c r="G275" s="44"/>
      <c r="H275" s="43"/>
      <c r="I275" s="44" t="n">
        <f aca="false">IF(F275="",0,F275*G275)</f>
        <v>0</v>
      </c>
      <c r="N275" s="44" t="str">
        <f aca="false">IF(AND(M275&lt;&gt;"",F275&lt;&gt;""),F275*M275,"")</f>
        <v/>
      </c>
    </row>
    <row r="276" customFormat="false" ht="15" hidden="false" customHeight="false" outlineLevel="0" collapsed="false">
      <c r="A276" s="37" t="str">
        <f aca="false">IF(B276="","",ROW()-3)</f>
        <v/>
      </c>
      <c r="B276" s="38"/>
      <c r="C276" s="39"/>
      <c r="D276" s="39"/>
      <c r="E276" s="39"/>
      <c r="F276" s="39"/>
      <c r="G276" s="40"/>
      <c r="H276" s="39"/>
      <c r="I276" s="40" t="n">
        <f aca="false">IF(F276="",0,F276*G276)</f>
        <v>0</v>
      </c>
      <c r="J276" s="39"/>
      <c r="K276" s="39"/>
      <c r="L276" s="39"/>
      <c r="M276" s="39"/>
      <c r="N276" s="40" t="str">
        <f aca="false">IF(AND(M276&lt;&gt;"",F276&lt;&gt;""),F276*M276,"")</f>
        <v/>
      </c>
    </row>
    <row r="277" customFormat="false" ht="15" hidden="false" customHeight="false" outlineLevel="0" collapsed="false">
      <c r="A277" s="41" t="str">
        <f aca="false">IF(B277="","",ROW()-3)</f>
        <v/>
      </c>
      <c r="B277" s="42"/>
      <c r="C277" s="43"/>
      <c r="G277" s="44"/>
      <c r="H277" s="43"/>
      <c r="I277" s="44" t="n">
        <f aca="false">IF(F277="",0,F277*G277)</f>
        <v>0</v>
      </c>
      <c r="N277" s="44" t="str">
        <f aca="false">IF(AND(M277&lt;&gt;"",F277&lt;&gt;""),F277*M277,"")</f>
        <v/>
      </c>
    </row>
    <row r="278" customFormat="false" ht="15" hidden="false" customHeight="false" outlineLevel="0" collapsed="false">
      <c r="A278" s="37" t="str">
        <f aca="false">IF(B278="","",ROW()-3)</f>
        <v/>
      </c>
      <c r="B278" s="38"/>
      <c r="C278" s="39"/>
      <c r="D278" s="39"/>
      <c r="E278" s="39"/>
      <c r="F278" s="39"/>
      <c r="G278" s="40"/>
      <c r="H278" s="39"/>
      <c r="I278" s="40" t="n">
        <f aca="false">IF(F278="",0,F278*G278)</f>
        <v>0</v>
      </c>
      <c r="J278" s="39"/>
      <c r="K278" s="39"/>
      <c r="L278" s="39"/>
      <c r="M278" s="39"/>
      <c r="N278" s="40" t="str">
        <f aca="false">IF(AND(M278&lt;&gt;"",F278&lt;&gt;""),F278*M278,"")</f>
        <v/>
      </c>
    </row>
    <row r="279" customFormat="false" ht="15" hidden="false" customHeight="false" outlineLevel="0" collapsed="false">
      <c r="A279" s="41" t="str">
        <f aca="false">IF(B279="","",ROW()-3)</f>
        <v/>
      </c>
      <c r="B279" s="42"/>
      <c r="C279" s="43"/>
      <c r="G279" s="44"/>
      <c r="H279" s="43"/>
      <c r="I279" s="44" t="n">
        <f aca="false">IF(F279="",0,F279*G279)</f>
        <v>0</v>
      </c>
      <c r="N279" s="44" t="str">
        <f aca="false">IF(AND(M279&lt;&gt;"",F279&lt;&gt;""),F279*M279,"")</f>
        <v/>
      </c>
    </row>
    <row r="280" customFormat="false" ht="15" hidden="false" customHeight="false" outlineLevel="0" collapsed="false">
      <c r="A280" s="37" t="str">
        <f aca="false">IF(B280="","",ROW()-3)</f>
        <v/>
      </c>
      <c r="B280" s="38"/>
      <c r="C280" s="39"/>
      <c r="D280" s="39"/>
      <c r="E280" s="39"/>
      <c r="F280" s="39"/>
      <c r="G280" s="40"/>
      <c r="H280" s="39"/>
      <c r="I280" s="40" t="n">
        <f aca="false">IF(F280="",0,F280*G280)</f>
        <v>0</v>
      </c>
      <c r="J280" s="39"/>
      <c r="K280" s="39"/>
      <c r="L280" s="39"/>
      <c r="M280" s="39"/>
      <c r="N280" s="40" t="str">
        <f aca="false">IF(AND(M280&lt;&gt;"",F280&lt;&gt;""),F280*M280,"")</f>
        <v/>
      </c>
    </row>
    <row r="281" customFormat="false" ht="15" hidden="false" customHeight="false" outlineLevel="0" collapsed="false">
      <c r="A281" s="41" t="str">
        <f aca="false">IF(B281="","",ROW()-3)</f>
        <v/>
      </c>
      <c r="B281" s="42"/>
      <c r="C281" s="43"/>
      <c r="G281" s="44"/>
      <c r="H281" s="43"/>
      <c r="I281" s="44" t="n">
        <f aca="false">IF(F281="",0,F281*G281)</f>
        <v>0</v>
      </c>
      <c r="N281" s="44" t="str">
        <f aca="false">IF(AND(M281&lt;&gt;"",F281&lt;&gt;""),F281*M281,"")</f>
        <v/>
      </c>
    </row>
    <row r="282" customFormat="false" ht="15" hidden="false" customHeight="false" outlineLevel="0" collapsed="false">
      <c r="A282" s="37" t="str">
        <f aca="false">IF(B282="","",ROW()-3)</f>
        <v/>
      </c>
      <c r="B282" s="38"/>
      <c r="C282" s="39"/>
      <c r="D282" s="39"/>
      <c r="E282" s="39"/>
      <c r="F282" s="39"/>
      <c r="G282" s="40"/>
      <c r="H282" s="39"/>
      <c r="I282" s="40" t="n">
        <f aca="false">IF(F282="",0,F282*G282)</f>
        <v>0</v>
      </c>
      <c r="J282" s="39"/>
      <c r="K282" s="39"/>
      <c r="L282" s="39"/>
      <c r="M282" s="39"/>
      <c r="N282" s="40" t="str">
        <f aca="false">IF(AND(M282&lt;&gt;"",F282&lt;&gt;""),F282*M282,"")</f>
        <v/>
      </c>
    </row>
    <row r="283" customFormat="false" ht="15" hidden="false" customHeight="false" outlineLevel="0" collapsed="false">
      <c r="A283" s="41" t="str">
        <f aca="false">IF(B283="","",ROW()-3)</f>
        <v/>
      </c>
      <c r="B283" s="42"/>
      <c r="C283" s="43"/>
      <c r="G283" s="44"/>
      <c r="H283" s="43"/>
      <c r="I283" s="44" t="n">
        <f aca="false">IF(F283="",0,F283*G283)</f>
        <v>0</v>
      </c>
      <c r="N283" s="44" t="str">
        <f aca="false">IF(AND(M283&lt;&gt;"",F283&lt;&gt;""),F283*M283,"")</f>
        <v/>
      </c>
    </row>
    <row r="284" customFormat="false" ht="15" hidden="false" customHeight="false" outlineLevel="0" collapsed="false">
      <c r="A284" s="37" t="str">
        <f aca="false">IF(B284="","",ROW()-3)</f>
        <v/>
      </c>
      <c r="B284" s="38"/>
      <c r="C284" s="39"/>
      <c r="D284" s="39"/>
      <c r="E284" s="39"/>
      <c r="F284" s="39"/>
      <c r="G284" s="40"/>
      <c r="H284" s="39"/>
      <c r="I284" s="40" t="n">
        <f aca="false">IF(F284="",0,F284*G284)</f>
        <v>0</v>
      </c>
      <c r="J284" s="39"/>
      <c r="K284" s="39"/>
      <c r="L284" s="39"/>
      <c r="M284" s="39"/>
      <c r="N284" s="40" t="str">
        <f aca="false">IF(AND(M284&lt;&gt;"",F284&lt;&gt;""),F284*M284,"")</f>
        <v/>
      </c>
    </row>
    <row r="285" customFormat="false" ht="15" hidden="false" customHeight="false" outlineLevel="0" collapsed="false">
      <c r="A285" s="41" t="str">
        <f aca="false">IF(B285="","",ROW()-3)</f>
        <v/>
      </c>
      <c r="B285" s="42"/>
      <c r="C285" s="43"/>
      <c r="G285" s="44"/>
      <c r="H285" s="43"/>
      <c r="I285" s="44" t="n">
        <f aca="false">IF(F285="",0,F285*G285)</f>
        <v>0</v>
      </c>
      <c r="N285" s="44" t="str">
        <f aca="false">IF(AND(M285&lt;&gt;"",F285&lt;&gt;""),F285*M285,"")</f>
        <v/>
      </c>
    </row>
    <row r="286" customFormat="false" ht="15" hidden="false" customHeight="false" outlineLevel="0" collapsed="false">
      <c r="A286" s="37" t="str">
        <f aca="false">IF(B286="","",ROW()-3)</f>
        <v/>
      </c>
      <c r="B286" s="38"/>
      <c r="C286" s="39"/>
      <c r="D286" s="39"/>
      <c r="E286" s="39"/>
      <c r="F286" s="39"/>
      <c r="G286" s="40"/>
      <c r="H286" s="39"/>
      <c r="I286" s="40" t="n">
        <f aca="false">IF(F286="",0,F286*G286)</f>
        <v>0</v>
      </c>
      <c r="J286" s="39"/>
      <c r="K286" s="39"/>
      <c r="L286" s="39"/>
      <c r="M286" s="39"/>
      <c r="N286" s="40" t="str">
        <f aca="false">IF(AND(M286&lt;&gt;"",F286&lt;&gt;""),F286*M286,"")</f>
        <v/>
      </c>
    </row>
    <row r="287" customFormat="false" ht="15" hidden="false" customHeight="false" outlineLevel="0" collapsed="false">
      <c r="A287" s="41" t="str">
        <f aca="false">IF(B287="","",ROW()-3)</f>
        <v/>
      </c>
      <c r="B287" s="42"/>
      <c r="C287" s="43"/>
      <c r="G287" s="44"/>
      <c r="H287" s="43"/>
      <c r="I287" s="44" t="n">
        <f aca="false">IF(F287="",0,F287*G287)</f>
        <v>0</v>
      </c>
      <c r="N287" s="44" t="str">
        <f aca="false">IF(AND(M287&lt;&gt;"",F287&lt;&gt;""),F287*M287,"")</f>
        <v/>
      </c>
    </row>
    <row r="288" customFormat="false" ht="15" hidden="false" customHeight="false" outlineLevel="0" collapsed="false">
      <c r="A288" s="37" t="str">
        <f aca="false">IF(B288="","",ROW()-3)</f>
        <v/>
      </c>
      <c r="B288" s="38"/>
      <c r="C288" s="39"/>
      <c r="D288" s="39"/>
      <c r="E288" s="39"/>
      <c r="F288" s="39"/>
      <c r="G288" s="40"/>
      <c r="H288" s="39"/>
      <c r="I288" s="40" t="n">
        <f aca="false">IF(F288="",0,F288*G288)</f>
        <v>0</v>
      </c>
      <c r="J288" s="39"/>
      <c r="K288" s="39"/>
      <c r="L288" s="39"/>
      <c r="M288" s="39"/>
      <c r="N288" s="40" t="str">
        <f aca="false">IF(AND(M288&lt;&gt;"",F288&lt;&gt;""),F288*M288,"")</f>
        <v/>
      </c>
    </row>
    <row r="289" customFormat="false" ht="15" hidden="false" customHeight="false" outlineLevel="0" collapsed="false">
      <c r="A289" s="41" t="str">
        <f aca="false">IF(B289="","",ROW()-3)</f>
        <v/>
      </c>
      <c r="B289" s="42"/>
      <c r="C289" s="43"/>
      <c r="G289" s="44"/>
      <c r="H289" s="43"/>
      <c r="I289" s="44" t="n">
        <f aca="false">IF(F289="",0,F289*G289)</f>
        <v>0</v>
      </c>
      <c r="N289" s="44" t="str">
        <f aca="false">IF(AND(M289&lt;&gt;"",F289&lt;&gt;""),F289*M289,"")</f>
        <v/>
      </c>
    </row>
    <row r="290" customFormat="false" ht="15" hidden="false" customHeight="false" outlineLevel="0" collapsed="false">
      <c r="A290" s="37" t="str">
        <f aca="false">IF(B290="","",ROW()-3)</f>
        <v/>
      </c>
      <c r="B290" s="38"/>
      <c r="C290" s="39"/>
      <c r="D290" s="39"/>
      <c r="E290" s="39"/>
      <c r="F290" s="39"/>
      <c r="G290" s="40"/>
      <c r="H290" s="39"/>
      <c r="I290" s="40" t="n">
        <f aca="false">IF(F290="",0,F290*G290)</f>
        <v>0</v>
      </c>
      <c r="J290" s="39"/>
      <c r="K290" s="39"/>
      <c r="L290" s="39"/>
      <c r="M290" s="39"/>
      <c r="N290" s="40" t="str">
        <f aca="false">IF(AND(M290&lt;&gt;"",F290&lt;&gt;""),F290*M290,"")</f>
        <v/>
      </c>
    </row>
    <row r="291" customFormat="false" ht="15" hidden="false" customHeight="false" outlineLevel="0" collapsed="false">
      <c r="A291" s="41" t="str">
        <f aca="false">IF(B291="","",ROW()-3)</f>
        <v/>
      </c>
      <c r="B291" s="42"/>
      <c r="C291" s="43"/>
      <c r="G291" s="44"/>
      <c r="H291" s="43"/>
      <c r="I291" s="44" t="n">
        <f aca="false">IF(F291="",0,F291*G291)</f>
        <v>0</v>
      </c>
      <c r="N291" s="44" t="str">
        <f aca="false">IF(AND(M291&lt;&gt;"",F291&lt;&gt;""),F291*M291,"")</f>
        <v/>
      </c>
    </row>
    <row r="292" customFormat="false" ht="15" hidden="false" customHeight="false" outlineLevel="0" collapsed="false">
      <c r="A292" s="37" t="str">
        <f aca="false">IF(B292="","",ROW()-3)</f>
        <v/>
      </c>
      <c r="B292" s="38"/>
      <c r="C292" s="39"/>
      <c r="D292" s="39"/>
      <c r="E292" s="39"/>
      <c r="F292" s="39"/>
      <c r="G292" s="40"/>
      <c r="H292" s="39"/>
      <c r="I292" s="40" t="n">
        <f aca="false">IF(F292="",0,F292*G292)</f>
        <v>0</v>
      </c>
      <c r="J292" s="39"/>
      <c r="K292" s="39"/>
      <c r="L292" s="39"/>
      <c r="M292" s="39"/>
      <c r="N292" s="40" t="str">
        <f aca="false">IF(AND(M292&lt;&gt;"",F292&lt;&gt;""),F292*M292,"")</f>
        <v/>
      </c>
    </row>
    <row r="293" customFormat="false" ht="15" hidden="false" customHeight="false" outlineLevel="0" collapsed="false">
      <c r="A293" s="41" t="str">
        <f aca="false">IF(B293="","",ROW()-3)</f>
        <v/>
      </c>
      <c r="B293" s="42"/>
      <c r="C293" s="43"/>
      <c r="G293" s="44"/>
      <c r="H293" s="43"/>
      <c r="I293" s="44" t="n">
        <f aca="false">IF(F293="",0,F293*G293)</f>
        <v>0</v>
      </c>
      <c r="N293" s="44" t="str">
        <f aca="false">IF(AND(M293&lt;&gt;"",F293&lt;&gt;""),F293*M293,"")</f>
        <v/>
      </c>
    </row>
    <row r="294" customFormat="false" ht="15" hidden="false" customHeight="false" outlineLevel="0" collapsed="false">
      <c r="A294" s="37" t="str">
        <f aca="false">IF(B294="","",ROW()-3)</f>
        <v/>
      </c>
      <c r="B294" s="38"/>
      <c r="C294" s="39"/>
      <c r="D294" s="39"/>
      <c r="E294" s="39"/>
      <c r="F294" s="39"/>
      <c r="G294" s="40"/>
      <c r="H294" s="39"/>
      <c r="I294" s="40" t="n">
        <f aca="false">IF(F294="",0,F294*G294)</f>
        <v>0</v>
      </c>
      <c r="J294" s="39"/>
      <c r="K294" s="39"/>
      <c r="L294" s="39"/>
      <c r="M294" s="39"/>
      <c r="N294" s="40" t="str">
        <f aca="false">IF(AND(M294&lt;&gt;"",F294&lt;&gt;""),F294*M294,"")</f>
        <v/>
      </c>
    </row>
    <row r="295" customFormat="false" ht="15" hidden="false" customHeight="false" outlineLevel="0" collapsed="false">
      <c r="A295" s="41" t="str">
        <f aca="false">IF(B295="","",ROW()-3)</f>
        <v/>
      </c>
      <c r="B295" s="42"/>
      <c r="C295" s="43"/>
      <c r="G295" s="44"/>
      <c r="H295" s="43"/>
      <c r="I295" s="44" t="n">
        <f aca="false">IF(F295="",0,F295*G295)</f>
        <v>0</v>
      </c>
      <c r="N295" s="44" t="str">
        <f aca="false">IF(AND(M295&lt;&gt;"",F295&lt;&gt;""),F295*M295,"")</f>
        <v/>
      </c>
    </row>
    <row r="296" customFormat="false" ht="15" hidden="false" customHeight="false" outlineLevel="0" collapsed="false">
      <c r="A296" s="37" t="str">
        <f aca="false">IF(B296="","",ROW()-3)</f>
        <v/>
      </c>
      <c r="B296" s="38"/>
      <c r="C296" s="39"/>
      <c r="D296" s="39"/>
      <c r="E296" s="39"/>
      <c r="F296" s="39"/>
      <c r="G296" s="40"/>
      <c r="H296" s="39"/>
      <c r="I296" s="40" t="n">
        <f aca="false">IF(F296="",0,F296*G296)</f>
        <v>0</v>
      </c>
      <c r="J296" s="39"/>
      <c r="K296" s="39"/>
      <c r="L296" s="39"/>
      <c r="M296" s="39"/>
      <c r="N296" s="40" t="str">
        <f aca="false">IF(AND(M296&lt;&gt;"",F296&lt;&gt;""),F296*M296,"")</f>
        <v/>
      </c>
    </row>
    <row r="297" customFormat="false" ht="15" hidden="false" customHeight="false" outlineLevel="0" collapsed="false">
      <c r="A297" s="41" t="str">
        <f aca="false">IF(B297="","",ROW()-3)</f>
        <v/>
      </c>
      <c r="B297" s="42"/>
      <c r="C297" s="43"/>
      <c r="G297" s="44"/>
      <c r="H297" s="43"/>
      <c r="I297" s="44" t="n">
        <f aca="false">IF(F297="",0,F297*G297)</f>
        <v>0</v>
      </c>
      <c r="N297" s="44" t="str">
        <f aca="false">IF(AND(M297&lt;&gt;"",F297&lt;&gt;""),F297*M297,"")</f>
        <v/>
      </c>
    </row>
    <row r="298" customFormat="false" ht="15" hidden="false" customHeight="false" outlineLevel="0" collapsed="false">
      <c r="A298" s="37" t="str">
        <f aca="false">IF(B298="","",ROW()-3)</f>
        <v/>
      </c>
      <c r="B298" s="38"/>
      <c r="C298" s="39"/>
      <c r="D298" s="39"/>
      <c r="E298" s="39"/>
      <c r="F298" s="39"/>
      <c r="G298" s="40"/>
      <c r="H298" s="39"/>
      <c r="I298" s="40" t="n">
        <f aca="false">IF(F298="",0,F298*G298)</f>
        <v>0</v>
      </c>
      <c r="J298" s="39"/>
      <c r="K298" s="39"/>
      <c r="L298" s="39"/>
      <c r="M298" s="39"/>
      <c r="N298" s="40" t="str">
        <f aca="false">IF(AND(M298&lt;&gt;"",F298&lt;&gt;""),F298*M298,"")</f>
        <v/>
      </c>
    </row>
    <row r="299" customFormat="false" ht="15" hidden="false" customHeight="false" outlineLevel="0" collapsed="false">
      <c r="A299" s="41" t="str">
        <f aca="false">IF(B299="","",ROW()-3)</f>
        <v/>
      </c>
      <c r="B299" s="42"/>
      <c r="C299" s="43"/>
      <c r="G299" s="44"/>
      <c r="H299" s="43"/>
      <c r="I299" s="44" t="n">
        <f aca="false">IF(F299="",0,F299*G299)</f>
        <v>0</v>
      </c>
      <c r="N299" s="44" t="str">
        <f aca="false">IF(AND(M299&lt;&gt;"",F299&lt;&gt;""),F299*M299,"")</f>
        <v/>
      </c>
    </row>
    <row r="300" customFormat="false" ht="15" hidden="false" customHeight="false" outlineLevel="0" collapsed="false">
      <c r="A300" s="37" t="str">
        <f aca="false">IF(B300="","",ROW()-3)</f>
        <v/>
      </c>
      <c r="B300" s="38"/>
      <c r="C300" s="39"/>
      <c r="D300" s="39"/>
      <c r="E300" s="39"/>
      <c r="F300" s="39"/>
      <c r="G300" s="40"/>
      <c r="H300" s="39"/>
      <c r="I300" s="40" t="n">
        <f aca="false">IF(F300="",0,F300*G300)</f>
        <v>0</v>
      </c>
      <c r="J300" s="39"/>
      <c r="K300" s="39"/>
      <c r="L300" s="39"/>
      <c r="M300" s="39"/>
      <c r="N300" s="40" t="str">
        <f aca="false">IF(AND(M300&lt;&gt;"",F300&lt;&gt;""),F300*M300,"")</f>
        <v/>
      </c>
    </row>
    <row r="301" customFormat="false" ht="15" hidden="false" customHeight="false" outlineLevel="0" collapsed="false">
      <c r="A301" s="41" t="str">
        <f aca="false">IF(B301="","",ROW()-3)</f>
        <v/>
      </c>
      <c r="B301" s="42"/>
      <c r="C301" s="43"/>
      <c r="G301" s="44"/>
      <c r="H301" s="43"/>
      <c r="I301" s="44" t="n">
        <f aca="false">IF(F301="",0,F301*G301)</f>
        <v>0</v>
      </c>
      <c r="N301" s="44" t="str">
        <f aca="false">IF(AND(M301&lt;&gt;"",F301&lt;&gt;""),F301*M301,"")</f>
        <v/>
      </c>
    </row>
    <row r="302" customFormat="false" ht="15" hidden="false" customHeight="false" outlineLevel="0" collapsed="false">
      <c r="A302" s="37" t="str">
        <f aca="false">IF(B302="","",ROW()-3)</f>
        <v/>
      </c>
      <c r="B302" s="38"/>
      <c r="C302" s="39"/>
      <c r="D302" s="39"/>
      <c r="E302" s="39"/>
      <c r="F302" s="39"/>
      <c r="G302" s="40"/>
      <c r="H302" s="39"/>
      <c r="I302" s="40" t="n">
        <f aca="false">IF(F302="",0,F302*G302)</f>
        <v>0</v>
      </c>
      <c r="J302" s="39"/>
      <c r="K302" s="39"/>
      <c r="L302" s="39"/>
      <c r="M302" s="39"/>
      <c r="N302" s="40" t="str">
        <f aca="false">IF(AND(M302&lt;&gt;"",F302&lt;&gt;""),F302*M302,"")</f>
        <v/>
      </c>
    </row>
    <row r="303" customFormat="false" ht="15" hidden="false" customHeight="false" outlineLevel="0" collapsed="false">
      <c r="A303" s="41" t="str">
        <f aca="false">IF(B303="","",ROW()-3)</f>
        <v/>
      </c>
      <c r="B303" s="42"/>
      <c r="C303" s="43"/>
      <c r="G303" s="44"/>
      <c r="H303" s="43"/>
      <c r="I303" s="44" t="n">
        <f aca="false">IF(F303="",0,F303*G303)</f>
        <v>0</v>
      </c>
      <c r="N303" s="44" t="str">
        <f aca="false">IF(AND(M303&lt;&gt;"",F303&lt;&gt;""),F303*M303,"")</f>
        <v/>
      </c>
    </row>
    <row r="304" customFormat="false" ht="15" hidden="false" customHeight="false" outlineLevel="0" collapsed="false">
      <c r="A304" s="37" t="str">
        <f aca="false">IF(B304="","",ROW()-3)</f>
        <v/>
      </c>
      <c r="B304" s="38"/>
      <c r="C304" s="39"/>
      <c r="D304" s="39"/>
      <c r="E304" s="39"/>
      <c r="F304" s="39"/>
      <c r="G304" s="40"/>
      <c r="H304" s="39"/>
      <c r="I304" s="40" t="n">
        <f aca="false">IF(F304="",0,F304*G304)</f>
        <v>0</v>
      </c>
      <c r="J304" s="39"/>
      <c r="K304" s="39"/>
      <c r="L304" s="39"/>
      <c r="M304" s="39"/>
      <c r="N304" s="40" t="str">
        <f aca="false">IF(AND(M304&lt;&gt;"",F304&lt;&gt;""),F304*M304,"")</f>
        <v/>
      </c>
    </row>
    <row r="305" customFormat="false" ht="15" hidden="false" customHeight="false" outlineLevel="0" collapsed="false">
      <c r="A305" s="41" t="str">
        <f aca="false">IF(B305="","",ROW()-3)</f>
        <v/>
      </c>
      <c r="B305" s="42"/>
      <c r="C305" s="43"/>
      <c r="G305" s="44"/>
      <c r="H305" s="43"/>
      <c r="I305" s="44" t="n">
        <f aca="false">IF(F305="",0,F305*G305)</f>
        <v>0</v>
      </c>
      <c r="N305" s="44" t="str">
        <f aca="false">IF(AND(M305&lt;&gt;"",F305&lt;&gt;""),F305*M305,"")</f>
        <v/>
      </c>
    </row>
    <row r="306" customFormat="false" ht="15" hidden="false" customHeight="false" outlineLevel="0" collapsed="false">
      <c r="A306" s="37" t="str">
        <f aca="false">IF(B306="","",ROW()-3)</f>
        <v/>
      </c>
      <c r="B306" s="38"/>
      <c r="C306" s="39"/>
      <c r="D306" s="39"/>
      <c r="E306" s="39"/>
      <c r="F306" s="39"/>
      <c r="G306" s="40"/>
      <c r="H306" s="39"/>
      <c r="I306" s="40" t="n">
        <f aca="false">IF(F306="",0,F306*G306)</f>
        <v>0</v>
      </c>
      <c r="J306" s="39"/>
      <c r="K306" s="39"/>
      <c r="L306" s="39"/>
      <c r="M306" s="39"/>
      <c r="N306" s="40" t="str">
        <f aca="false">IF(AND(M306&lt;&gt;"",F306&lt;&gt;""),F306*M306,"")</f>
        <v/>
      </c>
    </row>
    <row r="307" customFormat="false" ht="15" hidden="false" customHeight="false" outlineLevel="0" collapsed="false">
      <c r="A307" s="41" t="str">
        <f aca="false">IF(B307="","",ROW()-3)</f>
        <v/>
      </c>
      <c r="B307" s="42"/>
      <c r="C307" s="43"/>
      <c r="G307" s="44"/>
      <c r="H307" s="43"/>
      <c r="I307" s="44" t="n">
        <f aca="false">IF(F307="",0,F307*G307)</f>
        <v>0</v>
      </c>
      <c r="N307" s="44" t="str">
        <f aca="false">IF(AND(M307&lt;&gt;"",F307&lt;&gt;""),F307*M307,"")</f>
        <v/>
      </c>
    </row>
    <row r="308" customFormat="false" ht="15" hidden="false" customHeight="false" outlineLevel="0" collapsed="false">
      <c r="A308" s="37" t="str">
        <f aca="false">IF(B308="","",ROW()-3)</f>
        <v/>
      </c>
      <c r="B308" s="38"/>
      <c r="C308" s="39"/>
      <c r="D308" s="39"/>
      <c r="E308" s="39"/>
      <c r="F308" s="39"/>
      <c r="G308" s="40"/>
      <c r="H308" s="39"/>
      <c r="I308" s="40" t="n">
        <f aca="false">IF(F308="",0,F308*G308)</f>
        <v>0</v>
      </c>
      <c r="J308" s="39"/>
      <c r="K308" s="39"/>
      <c r="L308" s="39"/>
      <c r="M308" s="39"/>
      <c r="N308" s="40" t="str">
        <f aca="false">IF(AND(M308&lt;&gt;"",F308&lt;&gt;""),F308*M308,"")</f>
        <v/>
      </c>
    </row>
    <row r="309" customFormat="false" ht="15" hidden="false" customHeight="false" outlineLevel="0" collapsed="false">
      <c r="A309" s="41" t="str">
        <f aca="false">IF(B309="","",ROW()-3)</f>
        <v/>
      </c>
      <c r="B309" s="42"/>
      <c r="C309" s="43"/>
      <c r="G309" s="44"/>
      <c r="H309" s="43"/>
      <c r="I309" s="44" t="n">
        <f aca="false">IF(F309="",0,F309*G309)</f>
        <v>0</v>
      </c>
      <c r="N309" s="44" t="str">
        <f aca="false">IF(AND(M309&lt;&gt;"",F309&lt;&gt;""),F309*M309,"")</f>
        <v/>
      </c>
    </row>
    <row r="310" customFormat="false" ht="15" hidden="false" customHeight="false" outlineLevel="0" collapsed="false">
      <c r="A310" s="37" t="str">
        <f aca="false">IF(B310="","",ROW()-3)</f>
        <v/>
      </c>
      <c r="B310" s="38"/>
      <c r="C310" s="39"/>
      <c r="D310" s="39"/>
      <c r="E310" s="39"/>
      <c r="F310" s="39"/>
      <c r="G310" s="40"/>
      <c r="H310" s="39"/>
      <c r="I310" s="40" t="n">
        <f aca="false">IF(F310="",0,F310*G310)</f>
        <v>0</v>
      </c>
      <c r="J310" s="39"/>
      <c r="K310" s="39"/>
      <c r="L310" s="39"/>
      <c r="M310" s="39"/>
      <c r="N310" s="40" t="str">
        <f aca="false">IF(AND(M310&lt;&gt;"",F310&lt;&gt;""),F310*M310,"")</f>
        <v/>
      </c>
    </row>
    <row r="311" customFormat="false" ht="15" hidden="false" customHeight="false" outlineLevel="0" collapsed="false">
      <c r="A311" s="41" t="str">
        <f aca="false">IF(B311="","",ROW()-3)</f>
        <v/>
      </c>
      <c r="B311" s="42"/>
      <c r="C311" s="43"/>
      <c r="G311" s="44"/>
      <c r="H311" s="43"/>
      <c r="I311" s="44" t="n">
        <f aca="false">IF(F311="",0,F311*G311)</f>
        <v>0</v>
      </c>
      <c r="N311" s="44" t="str">
        <f aca="false">IF(AND(M311&lt;&gt;"",F311&lt;&gt;""),F311*M311,"")</f>
        <v/>
      </c>
    </row>
    <row r="312" customFormat="false" ht="15" hidden="false" customHeight="false" outlineLevel="0" collapsed="false">
      <c r="A312" s="37" t="str">
        <f aca="false">IF(B312="","",ROW()-3)</f>
        <v/>
      </c>
      <c r="B312" s="38"/>
      <c r="C312" s="39"/>
      <c r="D312" s="39"/>
      <c r="E312" s="39"/>
      <c r="F312" s="39"/>
      <c r="G312" s="40"/>
      <c r="H312" s="39"/>
      <c r="I312" s="40" t="n">
        <f aca="false">IF(F312="",0,F312*G312)</f>
        <v>0</v>
      </c>
      <c r="J312" s="39"/>
      <c r="K312" s="39"/>
      <c r="L312" s="39"/>
      <c r="M312" s="39"/>
      <c r="N312" s="40" t="str">
        <f aca="false">IF(AND(M312&lt;&gt;"",F312&lt;&gt;""),F312*M312,"")</f>
        <v/>
      </c>
    </row>
    <row r="313" customFormat="false" ht="15" hidden="false" customHeight="false" outlineLevel="0" collapsed="false">
      <c r="A313" s="41" t="str">
        <f aca="false">IF(B313="","",ROW()-3)</f>
        <v/>
      </c>
      <c r="B313" s="42"/>
      <c r="C313" s="43"/>
      <c r="G313" s="44"/>
      <c r="H313" s="43"/>
      <c r="I313" s="44" t="n">
        <f aca="false">IF(F313="",0,F313*G313)</f>
        <v>0</v>
      </c>
      <c r="N313" s="44" t="str">
        <f aca="false">IF(AND(M313&lt;&gt;"",F313&lt;&gt;""),F313*M313,"")</f>
        <v/>
      </c>
    </row>
    <row r="314" customFormat="false" ht="15" hidden="false" customHeight="false" outlineLevel="0" collapsed="false">
      <c r="A314" s="37" t="str">
        <f aca="false">IF(B314="","",ROW()-3)</f>
        <v/>
      </c>
      <c r="B314" s="38"/>
      <c r="C314" s="39"/>
      <c r="D314" s="39"/>
      <c r="E314" s="39"/>
      <c r="F314" s="39"/>
      <c r="G314" s="40"/>
      <c r="H314" s="39"/>
      <c r="I314" s="40" t="n">
        <f aca="false">IF(F314="",0,F314*G314)</f>
        <v>0</v>
      </c>
      <c r="J314" s="39"/>
      <c r="K314" s="39"/>
      <c r="L314" s="39"/>
      <c r="M314" s="39"/>
      <c r="N314" s="40" t="str">
        <f aca="false">IF(AND(M314&lt;&gt;"",F314&lt;&gt;""),F314*M314,"")</f>
        <v/>
      </c>
    </row>
    <row r="315" customFormat="false" ht="15" hidden="false" customHeight="false" outlineLevel="0" collapsed="false">
      <c r="A315" s="41" t="str">
        <f aca="false">IF(B315="","",ROW()-3)</f>
        <v/>
      </c>
      <c r="B315" s="42"/>
      <c r="C315" s="43"/>
      <c r="G315" s="44"/>
      <c r="H315" s="43"/>
      <c r="I315" s="44" t="n">
        <f aca="false">IF(F315="",0,F315*G315)</f>
        <v>0</v>
      </c>
      <c r="N315" s="44" t="str">
        <f aca="false">IF(AND(M315&lt;&gt;"",F315&lt;&gt;""),F315*M315,"")</f>
        <v/>
      </c>
    </row>
    <row r="316" customFormat="false" ht="15" hidden="false" customHeight="false" outlineLevel="0" collapsed="false">
      <c r="A316" s="37" t="str">
        <f aca="false">IF(B316="","",ROW()-3)</f>
        <v/>
      </c>
      <c r="B316" s="38"/>
      <c r="C316" s="39"/>
      <c r="D316" s="39"/>
      <c r="E316" s="39"/>
      <c r="F316" s="39"/>
      <c r="G316" s="40"/>
      <c r="H316" s="39"/>
      <c r="I316" s="40" t="n">
        <f aca="false">IF(F316="",0,F316*G316)</f>
        <v>0</v>
      </c>
      <c r="J316" s="39"/>
      <c r="K316" s="39"/>
      <c r="L316" s="39"/>
      <c r="M316" s="39"/>
      <c r="N316" s="40" t="str">
        <f aca="false">IF(AND(M316&lt;&gt;"",F316&lt;&gt;""),F316*M316,"")</f>
        <v/>
      </c>
    </row>
    <row r="317" customFormat="false" ht="15" hidden="false" customHeight="false" outlineLevel="0" collapsed="false">
      <c r="A317" s="41" t="str">
        <f aca="false">IF(B317="","",ROW()-3)</f>
        <v/>
      </c>
      <c r="B317" s="42"/>
      <c r="C317" s="43"/>
      <c r="G317" s="44"/>
      <c r="H317" s="43"/>
      <c r="I317" s="44" t="n">
        <f aca="false">IF(F317="",0,F317*G317)</f>
        <v>0</v>
      </c>
      <c r="N317" s="44" t="str">
        <f aca="false">IF(AND(M317&lt;&gt;"",F317&lt;&gt;""),F317*M317,"")</f>
        <v/>
      </c>
    </row>
    <row r="318" customFormat="false" ht="15" hidden="false" customHeight="false" outlineLevel="0" collapsed="false">
      <c r="A318" s="37" t="str">
        <f aca="false">IF(B318="","",ROW()-3)</f>
        <v/>
      </c>
      <c r="B318" s="38"/>
      <c r="C318" s="39"/>
      <c r="D318" s="39"/>
      <c r="E318" s="39"/>
      <c r="F318" s="39"/>
      <c r="G318" s="40"/>
      <c r="H318" s="39"/>
      <c r="I318" s="40" t="n">
        <f aca="false">IF(F318="",0,F318*G318)</f>
        <v>0</v>
      </c>
      <c r="J318" s="39"/>
      <c r="K318" s="39"/>
      <c r="L318" s="39"/>
      <c r="M318" s="39"/>
      <c r="N318" s="40" t="str">
        <f aca="false">IF(AND(M318&lt;&gt;"",F318&lt;&gt;""),F318*M318,"")</f>
        <v/>
      </c>
    </row>
    <row r="319" customFormat="false" ht="15" hidden="false" customHeight="false" outlineLevel="0" collapsed="false">
      <c r="A319" s="41" t="str">
        <f aca="false">IF(B319="","",ROW()-3)</f>
        <v/>
      </c>
      <c r="B319" s="42"/>
      <c r="C319" s="43"/>
      <c r="G319" s="44"/>
      <c r="H319" s="43"/>
      <c r="I319" s="44" t="n">
        <f aca="false">IF(F319="",0,F319*G319)</f>
        <v>0</v>
      </c>
      <c r="N319" s="44" t="str">
        <f aca="false">IF(AND(M319&lt;&gt;"",F319&lt;&gt;""),F319*M319,"")</f>
        <v/>
      </c>
    </row>
    <row r="320" customFormat="false" ht="15" hidden="false" customHeight="false" outlineLevel="0" collapsed="false">
      <c r="A320" s="37" t="str">
        <f aca="false">IF(B320="","",ROW()-3)</f>
        <v/>
      </c>
      <c r="B320" s="38"/>
      <c r="C320" s="39"/>
      <c r="D320" s="39"/>
      <c r="E320" s="39"/>
      <c r="F320" s="39"/>
      <c r="G320" s="40"/>
      <c r="H320" s="39"/>
      <c r="I320" s="40" t="n">
        <f aca="false">IF(F320="",0,F320*G320)</f>
        <v>0</v>
      </c>
      <c r="J320" s="39"/>
      <c r="K320" s="39"/>
      <c r="L320" s="39"/>
      <c r="M320" s="39"/>
      <c r="N320" s="40" t="str">
        <f aca="false">IF(AND(M320&lt;&gt;"",F320&lt;&gt;""),F320*M320,"")</f>
        <v/>
      </c>
    </row>
    <row r="321" customFormat="false" ht="15" hidden="false" customHeight="false" outlineLevel="0" collapsed="false">
      <c r="A321" s="41" t="str">
        <f aca="false">IF(B321="","",ROW()-3)</f>
        <v/>
      </c>
      <c r="B321" s="42"/>
      <c r="C321" s="43"/>
      <c r="G321" s="44"/>
      <c r="H321" s="43"/>
      <c r="I321" s="44" t="n">
        <f aca="false">IF(F321="",0,F321*G321)</f>
        <v>0</v>
      </c>
      <c r="N321" s="44" t="str">
        <f aca="false">IF(AND(M321&lt;&gt;"",F321&lt;&gt;""),F321*M321,"")</f>
        <v/>
      </c>
    </row>
    <row r="322" customFormat="false" ht="15" hidden="false" customHeight="false" outlineLevel="0" collapsed="false">
      <c r="A322" s="37" t="str">
        <f aca="false">IF(B322="","",ROW()-3)</f>
        <v/>
      </c>
      <c r="B322" s="38"/>
      <c r="C322" s="39"/>
      <c r="D322" s="39"/>
      <c r="E322" s="39"/>
      <c r="F322" s="39"/>
      <c r="G322" s="40"/>
      <c r="H322" s="39"/>
      <c r="I322" s="40" t="n">
        <f aca="false">IF(F322="",0,F322*G322)</f>
        <v>0</v>
      </c>
      <c r="J322" s="39"/>
      <c r="K322" s="39"/>
      <c r="L322" s="39"/>
      <c r="M322" s="39"/>
      <c r="N322" s="40" t="str">
        <f aca="false">IF(AND(M322&lt;&gt;"",F322&lt;&gt;""),F322*M322,"")</f>
        <v/>
      </c>
    </row>
    <row r="323" customFormat="false" ht="15" hidden="false" customHeight="false" outlineLevel="0" collapsed="false">
      <c r="A323" s="41" t="str">
        <f aca="false">IF(B323="","",ROW()-3)</f>
        <v/>
      </c>
      <c r="B323" s="42"/>
      <c r="C323" s="43"/>
      <c r="G323" s="44"/>
      <c r="H323" s="43"/>
      <c r="I323" s="44" t="n">
        <f aca="false">IF(F323="",0,F323*G323)</f>
        <v>0</v>
      </c>
      <c r="N323" s="44" t="str">
        <f aca="false">IF(AND(M323&lt;&gt;"",F323&lt;&gt;""),F323*M323,"")</f>
        <v/>
      </c>
    </row>
    <row r="324" customFormat="false" ht="15" hidden="false" customHeight="false" outlineLevel="0" collapsed="false">
      <c r="A324" s="37" t="str">
        <f aca="false">IF(B324="","",ROW()-3)</f>
        <v/>
      </c>
      <c r="B324" s="38"/>
      <c r="C324" s="39"/>
      <c r="D324" s="39"/>
      <c r="E324" s="39"/>
      <c r="F324" s="39"/>
      <c r="G324" s="40"/>
      <c r="H324" s="39"/>
      <c r="I324" s="40" t="n">
        <f aca="false">IF(F324="",0,F324*G324)</f>
        <v>0</v>
      </c>
      <c r="J324" s="39"/>
      <c r="K324" s="39"/>
      <c r="L324" s="39"/>
      <c r="M324" s="39"/>
      <c r="N324" s="40" t="str">
        <f aca="false">IF(AND(M324&lt;&gt;"",F324&lt;&gt;""),F324*M324,"")</f>
        <v/>
      </c>
    </row>
    <row r="325" customFormat="false" ht="15" hidden="false" customHeight="false" outlineLevel="0" collapsed="false">
      <c r="A325" s="41" t="str">
        <f aca="false">IF(B325="","",ROW()-3)</f>
        <v/>
      </c>
      <c r="B325" s="42"/>
      <c r="C325" s="43"/>
      <c r="G325" s="44"/>
      <c r="H325" s="43"/>
      <c r="I325" s="44" t="n">
        <f aca="false">IF(F325="",0,F325*G325)</f>
        <v>0</v>
      </c>
      <c r="N325" s="44" t="str">
        <f aca="false">IF(AND(M325&lt;&gt;"",F325&lt;&gt;""),F325*M325,"")</f>
        <v/>
      </c>
    </row>
    <row r="326" customFormat="false" ht="15" hidden="false" customHeight="false" outlineLevel="0" collapsed="false">
      <c r="A326" s="37" t="str">
        <f aca="false">IF(B326="","",ROW()-3)</f>
        <v/>
      </c>
      <c r="B326" s="38"/>
      <c r="C326" s="39"/>
      <c r="D326" s="39"/>
      <c r="E326" s="39"/>
      <c r="F326" s="39"/>
      <c r="G326" s="40"/>
      <c r="H326" s="39"/>
      <c r="I326" s="40" t="n">
        <f aca="false">IF(F326="",0,F326*G326)</f>
        <v>0</v>
      </c>
      <c r="J326" s="39"/>
      <c r="K326" s="39"/>
      <c r="L326" s="39"/>
      <c r="M326" s="39"/>
      <c r="N326" s="40" t="str">
        <f aca="false">IF(AND(M326&lt;&gt;"",F326&lt;&gt;""),F326*M326,"")</f>
        <v/>
      </c>
    </row>
    <row r="327" customFormat="false" ht="15" hidden="false" customHeight="false" outlineLevel="0" collapsed="false">
      <c r="A327" s="41" t="str">
        <f aca="false">IF(B327="","",ROW()-3)</f>
        <v/>
      </c>
      <c r="B327" s="42"/>
      <c r="C327" s="43"/>
      <c r="G327" s="44"/>
      <c r="H327" s="43"/>
      <c r="I327" s="44" t="n">
        <f aca="false">IF(F327="",0,F327*G327)</f>
        <v>0</v>
      </c>
      <c r="N327" s="44" t="str">
        <f aca="false">IF(AND(M327&lt;&gt;"",F327&lt;&gt;""),F327*M327,"")</f>
        <v/>
      </c>
    </row>
    <row r="328" customFormat="false" ht="15" hidden="false" customHeight="false" outlineLevel="0" collapsed="false">
      <c r="A328" s="37" t="str">
        <f aca="false">IF(B328="","",ROW()-3)</f>
        <v/>
      </c>
      <c r="B328" s="38"/>
      <c r="C328" s="39"/>
      <c r="D328" s="39"/>
      <c r="E328" s="39"/>
      <c r="F328" s="39"/>
      <c r="G328" s="40"/>
      <c r="H328" s="39"/>
      <c r="I328" s="40" t="n">
        <f aca="false">IF(F328="",0,F328*G328)</f>
        <v>0</v>
      </c>
      <c r="J328" s="39"/>
      <c r="K328" s="39"/>
      <c r="L328" s="39"/>
      <c r="M328" s="39"/>
      <c r="N328" s="40" t="str">
        <f aca="false">IF(AND(M328&lt;&gt;"",F328&lt;&gt;""),F328*M328,"")</f>
        <v/>
      </c>
    </row>
    <row r="329" customFormat="false" ht="15" hidden="false" customHeight="false" outlineLevel="0" collapsed="false">
      <c r="A329" s="41" t="str">
        <f aca="false">IF(B329="","",ROW()-3)</f>
        <v/>
      </c>
      <c r="B329" s="42"/>
      <c r="C329" s="43"/>
      <c r="G329" s="44"/>
      <c r="H329" s="43"/>
      <c r="I329" s="44" t="n">
        <f aca="false">IF(F329="",0,F329*G329)</f>
        <v>0</v>
      </c>
      <c r="N329" s="44" t="str">
        <f aca="false">IF(AND(M329&lt;&gt;"",F329&lt;&gt;""),F329*M329,"")</f>
        <v/>
      </c>
    </row>
    <row r="330" customFormat="false" ht="15" hidden="false" customHeight="false" outlineLevel="0" collapsed="false">
      <c r="A330" s="37" t="str">
        <f aca="false">IF(B330="","",ROW()-3)</f>
        <v/>
      </c>
      <c r="B330" s="38"/>
      <c r="C330" s="39"/>
      <c r="D330" s="39"/>
      <c r="E330" s="39"/>
      <c r="F330" s="39"/>
      <c r="G330" s="40"/>
      <c r="H330" s="39"/>
      <c r="I330" s="40" t="n">
        <f aca="false">IF(F330="",0,F330*G330)</f>
        <v>0</v>
      </c>
      <c r="J330" s="39"/>
      <c r="K330" s="39"/>
      <c r="L330" s="39"/>
      <c r="M330" s="39"/>
      <c r="N330" s="40" t="str">
        <f aca="false">IF(AND(M330&lt;&gt;"",F330&lt;&gt;""),F330*M330,"")</f>
        <v/>
      </c>
    </row>
    <row r="331" customFormat="false" ht="15" hidden="false" customHeight="false" outlineLevel="0" collapsed="false">
      <c r="A331" s="41" t="str">
        <f aca="false">IF(B331="","",ROW()-3)</f>
        <v/>
      </c>
      <c r="B331" s="42"/>
      <c r="C331" s="43"/>
      <c r="G331" s="44"/>
      <c r="H331" s="43"/>
      <c r="I331" s="44" t="n">
        <f aca="false">IF(F331="",0,F331*G331)</f>
        <v>0</v>
      </c>
      <c r="N331" s="44" t="str">
        <f aca="false">IF(AND(M331&lt;&gt;"",F331&lt;&gt;""),F331*M331,"")</f>
        <v/>
      </c>
    </row>
    <row r="332" customFormat="false" ht="15" hidden="false" customHeight="false" outlineLevel="0" collapsed="false">
      <c r="A332" s="37" t="str">
        <f aca="false">IF(B332="","",ROW()-3)</f>
        <v/>
      </c>
      <c r="B332" s="38"/>
      <c r="C332" s="39"/>
      <c r="D332" s="39"/>
      <c r="E332" s="39"/>
      <c r="F332" s="39"/>
      <c r="G332" s="40"/>
      <c r="H332" s="39"/>
      <c r="I332" s="40" t="n">
        <f aca="false">IF(F332="",0,F332*G332)</f>
        <v>0</v>
      </c>
      <c r="J332" s="39"/>
      <c r="K332" s="39"/>
      <c r="L332" s="39"/>
      <c r="M332" s="39"/>
      <c r="N332" s="40" t="str">
        <f aca="false">IF(AND(M332&lt;&gt;"",F332&lt;&gt;""),F332*M332,"")</f>
        <v/>
      </c>
    </row>
    <row r="333" customFormat="false" ht="15" hidden="false" customHeight="false" outlineLevel="0" collapsed="false">
      <c r="A333" s="41" t="str">
        <f aca="false">IF(B333="","",ROW()-3)</f>
        <v/>
      </c>
      <c r="B333" s="42"/>
      <c r="C333" s="43"/>
      <c r="G333" s="44"/>
      <c r="H333" s="43"/>
      <c r="I333" s="44" t="n">
        <f aca="false">IF(F333="",0,F333*G333)</f>
        <v>0</v>
      </c>
      <c r="N333" s="44" t="str">
        <f aca="false">IF(AND(M333&lt;&gt;"",F333&lt;&gt;""),F333*M333,"")</f>
        <v/>
      </c>
    </row>
    <row r="334" customFormat="false" ht="15" hidden="false" customHeight="false" outlineLevel="0" collapsed="false">
      <c r="A334" s="37" t="str">
        <f aca="false">IF(B334="","",ROW()-3)</f>
        <v/>
      </c>
      <c r="B334" s="38"/>
      <c r="C334" s="39"/>
      <c r="D334" s="39"/>
      <c r="E334" s="39"/>
      <c r="F334" s="39"/>
      <c r="G334" s="40"/>
      <c r="H334" s="39"/>
      <c r="I334" s="40" t="n">
        <f aca="false">IF(F334="",0,F334*G334)</f>
        <v>0</v>
      </c>
      <c r="J334" s="39"/>
      <c r="K334" s="39"/>
      <c r="L334" s="39"/>
      <c r="M334" s="39"/>
      <c r="N334" s="40" t="str">
        <f aca="false">IF(AND(M334&lt;&gt;"",F334&lt;&gt;""),F334*M334,"")</f>
        <v/>
      </c>
    </row>
    <row r="335" customFormat="false" ht="15" hidden="false" customHeight="false" outlineLevel="0" collapsed="false">
      <c r="A335" s="41" t="str">
        <f aca="false">IF(B335="","",ROW()-3)</f>
        <v/>
      </c>
      <c r="B335" s="42"/>
      <c r="C335" s="43"/>
      <c r="G335" s="44"/>
      <c r="H335" s="43"/>
      <c r="I335" s="44" t="n">
        <f aca="false">IF(F335="",0,F335*G335)</f>
        <v>0</v>
      </c>
      <c r="N335" s="44" t="str">
        <f aca="false">IF(AND(M335&lt;&gt;"",F335&lt;&gt;""),F335*M335,"")</f>
        <v/>
      </c>
    </row>
    <row r="336" customFormat="false" ht="15" hidden="false" customHeight="false" outlineLevel="0" collapsed="false">
      <c r="A336" s="37" t="str">
        <f aca="false">IF(B336="","",ROW()-3)</f>
        <v/>
      </c>
      <c r="B336" s="38"/>
      <c r="C336" s="39"/>
      <c r="D336" s="39"/>
      <c r="E336" s="39"/>
      <c r="F336" s="39"/>
      <c r="G336" s="40"/>
      <c r="H336" s="39"/>
      <c r="I336" s="40" t="n">
        <f aca="false">IF(F336="",0,F336*G336)</f>
        <v>0</v>
      </c>
      <c r="J336" s="39"/>
      <c r="K336" s="39"/>
      <c r="L336" s="39"/>
      <c r="M336" s="39"/>
      <c r="N336" s="40" t="str">
        <f aca="false">IF(AND(M336&lt;&gt;"",F336&lt;&gt;""),F336*M336,"")</f>
        <v/>
      </c>
    </row>
    <row r="337" customFormat="false" ht="15" hidden="false" customHeight="false" outlineLevel="0" collapsed="false">
      <c r="A337" s="41" t="str">
        <f aca="false">IF(B337="","",ROW()-3)</f>
        <v/>
      </c>
      <c r="B337" s="42"/>
      <c r="C337" s="43"/>
      <c r="G337" s="44"/>
      <c r="H337" s="43"/>
      <c r="I337" s="44" t="n">
        <f aca="false">IF(F337="",0,F337*G337)</f>
        <v>0</v>
      </c>
      <c r="N337" s="44" t="str">
        <f aca="false">IF(AND(M337&lt;&gt;"",F337&lt;&gt;""),F337*M337,"")</f>
        <v/>
      </c>
    </row>
    <row r="338" customFormat="false" ht="15" hidden="false" customHeight="false" outlineLevel="0" collapsed="false">
      <c r="A338" s="37" t="str">
        <f aca="false">IF(B338="","",ROW()-3)</f>
        <v/>
      </c>
      <c r="B338" s="38"/>
      <c r="C338" s="39"/>
      <c r="D338" s="39"/>
      <c r="E338" s="39"/>
      <c r="F338" s="39"/>
      <c r="G338" s="40"/>
      <c r="H338" s="39"/>
      <c r="I338" s="40" t="n">
        <f aca="false">IF(F338="",0,F338*G338)</f>
        <v>0</v>
      </c>
      <c r="J338" s="39"/>
      <c r="K338" s="39"/>
      <c r="L338" s="39"/>
      <c r="M338" s="39"/>
      <c r="N338" s="40" t="str">
        <f aca="false">IF(AND(M338&lt;&gt;"",F338&lt;&gt;""),F338*M338,"")</f>
        <v/>
      </c>
    </row>
    <row r="339" customFormat="false" ht="15" hidden="false" customHeight="false" outlineLevel="0" collapsed="false">
      <c r="A339" s="41" t="str">
        <f aca="false">IF(B339="","",ROW()-3)</f>
        <v/>
      </c>
      <c r="B339" s="42"/>
      <c r="C339" s="43"/>
      <c r="G339" s="44"/>
      <c r="H339" s="43"/>
      <c r="I339" s="44" t="n">
        <f aca="false">IF(F339="",0,F339*G339)</f>
        <v>0</v>
      </c>
      <c r="N339" s="44" t="str">
        <f aca="false">IF(AND(M339&lt;&gt;"",F339&lt;&gt;""),F339*M339,"")</f>
        <v/>
      </c>
    </row>
    <row r="340" customFormat="false" ht="15" hidden="false" customHeight="false" outlineLevel="0" collapsed="false">
      <c r="A340" s="37" t="str">
        <f aca="false">IF(B340="","",ROW()-3)</f>
        <v/>
      </c>
      <c r="B340" s="38"/>
      <c r="C340" s="39"/>
      <c r="D340" s="39"/>
      <c r="E340" s="39"/>
      <c r="F340" s="39"/>
      <c r="G340" s="40"/>
      <c r="H340" s="39"/>
      <c r="I340" s="40" t="n">
        <f aca="false">IF(F340="",0,F340*G340)</f>
        <v>0</v>
      </c>
      <c r="J340" s="39"/>
      <c r="K340" s="39"/>
      <c r="L340" s="39"/>
      <c r="M340" s="39"/>
      <c r="N340" s="40" t="str">
        <f aca="false">IF(AND(M340&lt;&gt;"",F340&lt;&gt;""),F340*M340,"")</f>
        <v/>
      </c>
    </row>
    <row r="341" customFormat="false" ht="15" hidden="false" customHeight="false" outlineLevel="0" collapsed="false">
      <c r="A341" s="41" t="str">
        <f aca="false">IF(B341="","",ROW()-3)</f>
        <v/>
      </c>
      <c r="B341" s="42"/>
      <c r="C341" s="43"/>
      <c r="G341" s="44"/>
      <c r="H341" s="43"/>
      <c r="I341" s="44" t="n">
        <f aca="false">IF(F341="",0,F341*G341)</f>
        <v>0</v>
      </c>
      <c r="N341" s="44" t="str">
        <f aca="false">IF(AND(M341&lt;&gt;"",F341&lt;&gt;""),F341*M341,"")</f>
        <v/>
      </c>
    </row>
    <row r="342" customFormat="false" ht="15" hidden="false" customHeight="false" outlineLevel="0" collapsed="false">
      <c r="A342" s="37" t="str">
        <f aca="false">IF(B342="","",ROW()-3)</f>
        <v/>
      </c>
      <c r="B342" s="38"/>
      <c r="C342" s="39"/>
      <c r="D342" s="39"/>
      <c r="E342" s="39"/>
      <c r="F342" s="39"/>
      <c r="G342" s="40"/>
      <c r="H342" s="39"/>
      <c r="I342" s="40" t="n">
        <f aca="false">IF(F342="",0,F342*G342)</f>
        <v>0</v>
      </c>
      <c r="J342" s="39"/>
      <c r="K342" s="39"/>
      <c r="L342" s="39"/>
      <c r="M342" s="39"/>
      <c r="N342" s="40" t="str">
        <f aca="false">IF(AND(M342&lt;&gt;"",F342&lt;&gt;""),F342*M342,"")</f>
        <v/>
      </c>
    </row>
    <row r="343" customFormat="false" ht="15" hidden="false" customHeight="false" outlineLevel="0" collapsed="false">
      <c r="A343" s="41" t="str">
        <f aca="false">IF(B343="","",ROW()-3)</f>
        <v/>
      </c>
      <c r="B343" s="42"/>
      <c r="C343" s="43"/>
      <c r="G343" s="44"/>
      <c r="H343" s="43"/>
      <c r="I343" s="44" t="n">
        <f aca="false">IF(F343="",0,F343*G343)</f>
        <v>0</v>
      </c>
      <c r="N343" s="44" t="str">
        <f aca="false">IF(AND(M343&lt;&gt;"",F343&lt;&gt;""),F343*M343,"")</f>
        <v/>
      </c>
    </row>
    <row r="344" customFormat="false" ht="15" hidden="false" customHeight="false" outlineLevel="0" collapsed="false">
      <c r="A344" s="37" t="str">
        <f aca="false">IF(B344="","",ROW()-3)</f>
        <v/>
      </c>
      <c r="B344" s="38"/>
      <c r="C344" s="39"/>
      <c r="D344" s="39"/>
      <c r="E344" s="39"/>
      <c r="F344" s="39"/>
      <c r="G344" s="40"/>
      <c r="H344" s="39"/>
      <c r="I344" s="40" t="n">
        <f aca="false">IF(F344="",0,F344*G344)</f>
        <v>0</v>
      </c>
      <c r="J344" s="39"/>
      <c r="K344" s="39"/>
      <c r="L344" s="39"/>
      <c r="M344" s="39"/>
      <c r="N344" s="40" t="str">
        <f aca="false">IF(AND(M344&lt;&gt;"",F344&lt;&gt;""),F344*M344,"")</f>
        <v/>
      </c>
    </row>
    <row r="345" customFormat="false" ht="15" hidden="false" customHeight="false" outlineLevel="0" collapsed="false">
      <c r="A345" s="41" t="str">
        <f aca="false">IF(B345="","",ROW()-3)</f>
        <v/>
      </c>
      <c r="B345" s="42"/>
      <c r="C345" s="43"/>
      <c r="G345" s="44"/>
      <c r="H345" s="43"/>
      <c r="I345" s="44" t="n">
        <f aca="false">IF(F345="",0,F345*G345)</f>
        <v>0</v>
      </c>
      <c r="N345" s="44" t="str">
        <f aca="false">IF(AND(M345&lt;&gt;"",F345&lt;&gt;""),F345*M345,"")</f>
        <v/>
      </c>
    </row>
    <row r="346" customFormat="false" ht="15" hidden="false" customHeight="false" outlineLevel="0" collapsed="false">
      <c r="A346" s="37" t="str">
        <f aca="false">IF(B346="","",ROW()-3)</f>
        <v/>
      </c>
      <c r="B346" s="38"/>
      <c r="C346" s="39"/>
      <c r="D346" s="39"/>
      <c r="E346" s="39"/>
      <c r="F346" s="39"/>
      <c r="G346" s="40"/>
      <c r="H346" s="39"/>
      <c r="I346" s="40" t="n">
        <f aca="false">IF(F346="",0,F346*G346)</f>
        <v>0</v>
      </c>
      <c r="J346" s="39"/>
      <c r="K346" s="39"/>
      <c r="L346" s="39"/>
      <c r="M346" s="39"/>
      <c r="N346" s="40" t="str">
        <f aca="false">IF(AND(M346&lt;&gt;"",F346&lt;&gt;""),F346*M346,"")</f>
        <v/>
      </c>
    </row>
    <row r="347" customFormat="false" ht="15" hidden="false" customHeight="false" outlineLevel="0" collapsed="false">
      <c r="A347" s="41" t="str">
        <f aca="false">IF(B347="","",ROW()-3)</f>
        <v/>
      </c>
      <c r="B347" s="42"/>
      <c r="C347" s="43"/>
      <c r="G347" s="44"/>
      <c r="H347" s="43"/>
      <c r="I347" s="44" t="n">
        <f aca="false">IF(F347="",0,F347*G347)</f>
        <v>0</v>
      </c>
      <c r="N347" s="44" t="str">
        <f aca="false">IF(AND(M347&lt;&gt;"",F347&lt;&gt;""),F347*M347,"")</f>
        <v/>
      </c>
    </row>
    <row r="348" customFormat="false" ht="15" hidden="false" customHeight="false" outlineLevel="0" collapsed="false">
      <c r="A348" s="37" t="str">
        <f aca="false">IF(B348="","",ROW()-3)</f>
        <v/>
      </c>
      <c r="B348" s="38"/>
      <c r="C348" s="39"/>
      <c r="D348" s="39"/>
      <c r="E348" s="39"/>
      <c r="F348" s="39"/>
      <c r="G348" s="40"/>
      <c r="H348" s="39"/>
      <c r="I348" s="40" t="n">
        <f aca="false">IF(F348="",0,F348*G348)</f>
        <v>0</v>
      </c>
      <c r="J348" s="39"/>
      <c r="K348" s="39"/>
      <c r="L348" s="39"/>
      <c r="M348" s="39"/>
      <c r="N348" s="40" t="str">
        <f aca="false">IF(AND(M348&lt;&gt;"",F348&lt;&gt;""),F348*M348,"")</f>
        <v/>
      </c>
    </row>
    <row r="349" customFormat="false" ht="15" hidden="false" customHeight="false" outlineLevel="0" collapsed="false">
      <c r="A349" s="41" t="str">
        <f aca="false">IF(B349="","",ROW()-3)</f>
        <v/>
      </c>
      <c r="B349" s="42"/>
      <c r="C349" s="43"/>
      <c r="G349" s="44"/>
      <c r="H349" s="43"/>
      <c r="I349" s="44" t="n">
        <f aca="false">IF(F349="",0,F349*G349)</f>
        <v>0</v>
      </c>
      <c r="N349" s="44" t="str">
        <f aca="false">IF(AND(M349&lt;&gt;"",F349&lt;&gt;""),F349*M349,"")</f>
        <v/>
      </c>
    </row>
    <row r="350" customFormat="false" ht="15" hidden="false" customHeight="false" outlineLevel="0" collapsed="false">
      <c r="A350" s="37" t="str">
        <f aca="false">IF(B350="","",ROW()-3)</f>
        <v/>
      </c>
      <c r="B350" s="38"/>
      <c r="C350" s="39"/>
      <c r="D350" s="39"/>
      <c r="E350" s="39"/>
      <c r="F350" s="39"/>
      <c r="G350" s="40"/>
      <c r="H350" s="39"/>
      <c r="I350" s="40" t="n">
        <f aca="false">IF(F350="",0,F350*G350)</f>
        <v>0</v>
      </c>
      <c r="J350" s="39"/>
      <c r="K350" s="39"/>
      <c r="L350" s="39"/>
      <c r="M350" s="39"/>
      <c r="N350" s="40" t="str">
        <f aca="false">IF(AND(M350&lt;&gt;"",F350&lt;&gt;""),F350*M350,"")</f>
        <v/>
      </c>
    </row>
    <row r="351" customFormat="false" ht="15" hidden="false" customHeight="false" outlineLevel="0" collapsed="false">
      <c r="A351" s="41" t="str">
        <f aca="false">IF(B351="","",ROW()-3)</f>
        <v/>
      </c>
      <c r="B351" s="42"/>
      <c r="C351" s="43"/>
      <c r="G351" s="44"/>
      <c r="H351" s="43"/>
      <c r="I351" s="44" t="n">
        <f aca="false">IF(F351="",0,F351*G351)</f>
        <v>0</v>
      </c>
      <c r="N351" s="44" t="str">
        <f aca="false">IF(AND(M351&lt;&gt;"",F351&lt;&gt;""),F351*M351,"")</f>
        <v/>
      </c>
    </row>
    <row r="352" customFormat="false" ht="15" hidden="false" customHeight="false" outlineLevel="0" collapsed="false">
      <c r="A352" s="37" t="str">
        <f aca="false">IF(B352="","",ROW()-3)</f>
        <v/>
      </c>
      <c r="B352" s="38"/>
      <c r="C352" s="39"/>
      <c r="D352" s="39"/>
      <c r="E352" s="39"/>
      <c r="F352" s="39"/>
      <c r="G352" s="40"/>
      <c r="H352" s="39"/>
      <c r="I352" s="40" t="n">
        <f aca="false">IF(F352="",0,F352*G352)</f>
        <v>0</v>
      </c>
      <c r="J352" s="39"/>
      <c r="K352" s="39"/>
      <c r="L352" s="39"/>
      <c r="M352" s="39"/>
      <c r="N352" s="40" t="str">
        <f aca="false">IF(AND(M352&lt;&gt;"",F352&lt;&gt;""),F352*M352,"")</f>
        <v/>
      </c>
    </row>
    <row r="353" customFormat="false" ht="15" hidden="false" customHeight="false" outlineLevel="0" collapsed="false">
      <c r="A353" s="41" t="str">
        <f aca="false">IF(B353="","",ROW()-3)</f>
        <v/>
      </c>
      <c r="B353" s="42"/>
      <c r="C353" s="43"/>
      <c r="G353" s="44"/>
      <c r="H353" s="43"/>
      <c r="I353" s="44" t="n">
        <f aca="false">IF(F353="",0,F353*G353)</f>
        <v>0</v>
      </c>
      <c r="N353" s="44" t="str">
        <f aca="false">IF(AND(M353&lt;&gt;"",F353&lt;&gt;""),F353*M353,"")</f>
        <v/>
      </c>
    </row>
    <row r="354" customFormat="false" ht="15" hidden="false" customHeight="false" outlineLevel="0" collapsed="false">
      <c r="A354" s="37" t="str">
        <f aca="false">IF(B354="","",ROW()-3)</f>
        <v/>
      </c>
      <c r="B354" s="38"/>
      <c r="C354" s="39"/>
      <c r="D354" s="39"/>
      <c r="E354" s="39"/>
      <c r="F354" s="39"/>
      <c r="G354" s="40"/>
      <c r="H354" s="39"/>
      <c r="I354" s="40" t="n">
        <f aca="false">IF(F354="",0,F354*G354)</f>
        <v>0</v>
      </c>
      <c r="J354" s="39"/>
      <c r="K354" s="39"/>
      <c r="L354" s="39"/>
      <c r="M354" s="39"/>
      <c r="N354" s="40" t="str">
        <f aca="false">IF(AND(M354&lt;&gt;"",F354&lt;&gt;""),F354*M354,"")</f>
        <v/>
      </c>
    </row>
    <row r="355" customFormat="false" ht="15" hidden="false" customHeight="false" outlineLevel="0" collapsed="false">
      <c r="A355" s="41" t="str">
        <f aca="false">IF(B355="","",ROW()-3)</f>
        <v/>
      </c>
      <c r="B355" s="42"/>
      <c r="C355" s="43"/>
      <c r="G355" s="44"/>
      <c r="H355" s="43"/>
      <c r="I355" s="44" t="n">
        <f aca="false">IF(F355="",0,F355*G355)</f>
        <v>0</v>
      </c>
      <c r="N355" s="44" t="str">
        <f aca="false">IF(AND(M355&lt;&gt;"",F355&lt;&gt;""),F355*M355,"")</f>
        <v/>
      </c>
    </row>
    <row r="356" customFormat="false" ht="15" hidden="false" customHeight="false" outlineLevel="0" collapsed="false">
      <c r="A356" s="37" t="str">
        <f aca="false">IF(B356="","",ROW()-3)</f>
        <v/>
      </c>
      <c r="B356" s="38"/>
      <c r="C356" s="39"/>
      <c r="D356" s="39"/>
      <c r="E356" s="39"/>
      <c r="F356" s="39"/>
      <c r="G356" s="40"/>
      <c r="H356" s="39"/>
      <c r="I356" s="40" t="n">
        <f aca="false">IF(F356="",0,F356*G356)</f>
        <v>0</v>
      </c>
      <c r="J356" s="39"/>
      <c r="K356" s="39"/>
      <c r="L356" s="39"/>
      <c r="M356" s="39"/>
      <c r="N356" s="40" t="str">
        <f aca="false">IF(AND(M356&lt;&gt;"",F356&lt;&gt;""),F356*M356,"")</f>
        <v/>
      </c>
    </row>
    <row r="357" customFormat="false" ht="15" hidden="false" customHeight="false" outlineLevel="0" collapsed="false">
      <c r="A357" s="41" t="str">
        <f aca="false">IF(B357="","",ROW()-3)</f>
        <v/>
      </c>
      <c r="B357" s="42"/>
      <c r="C357" s="43"/>
      <c r="G357" s="44"/>
      <c r="H357" s="43"/>
      <c r="I357" s="44" t="n">
        <f aca="false">IF(F357="",0,F357*G357)</f>
        <v>0</v>
      </c>
      <c r="N357" s="44" t="str">
        <f aca="false">IF(AND(M357&lt;&gt;"",F357&lt;&gt;""),F357*M357,"")</f>
        <v/>
      </c>
    </row>
    <row r="358" customFormat="false" ht="15" hidden="false" customHeight="false" outlineLevel="0" collapsed="false">
      <c r="A358" s="37" t="str">
        <f aca="false">IF(B358="","",ROW()-3)</f>
        <v/>
      </c>
      <c r="B358" s="38"/>
      <c r="C358" s="39"/>
      <c r="D358" s="39"/>
      <c r="E358" s="39"/>
      <c r="F358" s="39"/>
      <c r="G358" s="40"/>
      <c r="H358" s="39"/>
      <c r="I358" s="40" t="n">
        <f aca="false">IF(F358="",0,F358*G358)</f>
        <v>0</v>
      </c>
      <c r="J358" s="39"/>
      <c r="K358" s="39"/>
      <c r="L358" s="39"/>
      <c r="M358" s="39"/>
      <c r="N358" s="40" t="str">
        <f aca="false">IF(AND(M358&lt;&gt;"",F358&lt;&gt;""),F358*M358,"")</f>
        <v/>
      </c>
    </row>
    <row r="359" customFormat="false" ht="15" hidden="false" customHeight="false" outlineLevel="0" collapsed="false">
      <c r="A359" s="41" t="str">
        <f aca="false">IF(B359="","",ROW()-3)</f>
        <v/>
      </c>
      <c r="B359" s="42"/>
      <c r="C359" s="43"/>
      <c r="G359" s="44"/>
      <c r="H359" s="43"/>
      <c r="I359" s="44" t="n">
        <f aca="false">IF(F359="",0,F359*G359)</f>
        <v>0</v>
      </c>
      <c r="N359" s="44" t="str">
        <f aca="false">IF(AND(M359&lt;&gt;"",F359&lt;&gt;""),F359*M359,"")</f>
        <v/>
      </c>
    </row>
    <row r="360" customFormat="false" ht="15" hidden="false" customHeight="false" outlineLevel="0" collapsed="false">
      <c r="A360" s="37" t="str">
        <f aca="false">IF(B360="","",ROW()-3)</f>
        <v/>
      </c>
      <c r="B360" s="38"/>
      <c r="C360" s="39"/>
      <c r="D360" s="39"/>
      <c r="E360" s="39"/>
      <c r="F360" s="39"/>
      <c r="G360" s="40"/>
      <c r="H360" s="39"/>
      <c r="I360" s="40" t="n">
        <f aca="false">IF(F360="",0,F360*G360)</f>
        <v>0</v>
      </c>
      <c r="J360" s="39"/>
      <c r="K360" s="39"/>
      <c r="L360" s="39"/>
      <c r="M360" s="39"/>
      <c r="N360" s="40" t="str">
        <f aca="false">IF(AND(M360&lt;&gt;"",F360&lt;&gt;""),F360*M360,"")</f>
        <v/>
      </c>
    </row>
    <row r="361" customFormat="false" ht="15" hidden="false" customHeight="false" outlineLevel="0" collapsed="false">
      <c r="A361" s="41" t="str">
        <f aca="false">IF(B361="","",ROW()-3)</f>
        <v/>
      </c>
      <c r="B361" s="42"/>
      <c r="C361" s="43"/>
      <c r="G361" s="44"/>
      <c r="H361" s="43"/>
      <c r="I361" s="44" t="n">
        <f aca="false">IF(F361="",0,F361*G361)</f>
        <v>0</v>
      </c>
      <c r="N361" s="44" t="str">
        <f aca="false">IF(AND(M361&lt;&gt;"",F361&lt;&gt;""),F361*M361,"")</f>
        <v/>
      </c>
    </row>
    <row r="362" customFormat="false" ht="15" hidden="false" customHeight="false" outlineLevel="0" collapsed="false">
      <c r="A362" s="37" t="str">
        <f aca="false">IF(B362="","",ROW()-3)</f>
        <v/>
      </c>
      <c r="B362" s="38"/>
      <c r="C362" s="39"/>
      <c r="D362" s="39"/>
      <c r="E362" s="39"/>
      <c r="F362" s="39"/>
      <c r="G362" s="40"/>
      <c r="H362" s="39"/>
      <c r="I362" s="40" t="n">
        <f aca="false">IF(F362="",0,F362*G362)</f>
        <v>0</v>
      </c>
      <c r="J362" s="39"/>
      <c r="K362" s="39"/>
      <c r="L362" s="39"/>
      <c r="M362" s="39"/>
      <c r="N362" s="40" t="str">
        <f aca="false">IF(AND(M362&lt;&gt;"",F362&lt;&gt;""),F362*M362,"")</f>
        <v/>
      </c>
    </row>
    <row r="363" customFormat="false" ht="15" hidden="false" customHeight="false" outlineLevel="0" collapsed="false">
      <c r="A363" s="41" t="str">
        <f aca="false">IF(B363="","",ROW()-3)</f>
        <v/>
      </c>
      <c r="B363" s="42"/>
      <c r="C363" s="43"/>
      <c r="G363" s="44"/>
      <c r="H363" s="43"/>
      <c r="I363" s="44" t="n">
        <f aca="false">IF(F363="",0,F363*G363)</f>
        <v>0</v>
      </c>
      <c r="N363" s="44" t="str">
        <f aca="false">IF(AND(M363&lt;&gt;"",F363&lt;&gt;""),F363*M363,"")</f>
        <v/>
      </c>
    </row>
    <row r="364" customFormat="false" ht="15" hidden="false" customHeight="false" outlineLevel="0" collapsed="false">
      <c r="A364" s="37" t="str">
        <f aca="false">IF(B364="","",ROW()-3)</f>
        <v/>
      </c>
      <c r="B364" s="38"/>
      <c r="C364" s="39"/>
      <c r="D364" s="39"/>
      <c r="E364" s="39"/>
      <c r="F364" s="39"/>
      <c r="G364" s="40"/>
      <c r="H364" s="39"/>
      <c r="I364" s="40" t="n">
        <f aca="false">IF(F364="",0,F364*G364)</f>
        <v>0</v>
      </c>
      <c r="J364" s="39"/>
      <c r="K364" s="39"/>
      <c r="L364" s="39"/>
      <c r="M364" s="39"/>
      <c r="N364" s="40" t="str">
        <f aca="false">IF(AND(M364&lt;&gt;"",F364&lt;&gt;""),F364*M364,"")</f>
        <v/>
      </c>
    </row>
    <row r="365" customFormat="false" ht="15" hidden="false" customHeight="false" outlineLevel="0" collapsed="false">
      <c r="A365" s="41" t="str">
        <f aca="false">IF(B365="","",ROW()-3)</f>
        <v/>
      </c>
      <c r="B365" s="42"/>
      <c r="C365" s="43"/>
      <c r="G365" s="44"/>
      <c r="H365" s="43"/>
      <c r="I365" s="44" t="n">
        <f aca="false">IF(F365="",0,F365*G365)</f>
        <v>0</v>
      </c>
      <c r="N365" s="44" t="str">
        <f aca="false">IF(AND(M365&lt;&gt;"",F365&lt;&gt;""),F365*M365,"")</f>
        <v/>
      </c>
    </row>
    <row r="366" customFormat="false" ht="15" hidden="false" customHeight="false" outlineLevel="0" collapsed="false">
      <c r="A366" s="37" t="str">
        <f aca="false">IF(B366="","",ROW()-3)</f>
        <v/>
      </c>
      <c r="B366" s="38"/>
      <c r="C366" s="39"/>
      <c r="D366" s="39"/>
      <c r="E366" s="39"/>
      <c r="F366" s="39"/>
      <c r="G366" s="40"/>
      <c r="H366" s="39"/>
      <c r="I366" s="40" t="n">
        <f aca="false">IF(F366="",0,F366*G366)</f>
        <v>0</v>
      </c>
      <c r="J366" s="39"/>
      <c r="K366" s="39"/>
      <c r="L366" s="39"/>
      <c r="M366" s="39"/>
      <c r="N366" s="40" t="str">
        <f aca="false">IF(AND(M366&lt;&gt;"",F366&lt;&gt;""),F366*M366,"")</f>
        <v/>
      </c>
    </row>
    <row r="367" customFormat="false" ht="15" hidden="false" customHeight="false" outlineLevel="0" collapsed="false">
      <c r="A367" s="41" t="str">
        <f aca="false">IF(B367="","",ROW()-3)</f>
        <v/>
      </c>
      <c r="B367" s="42"/>
      <c r="C367" s="43"/>
      <c r="G367" s="44"/>
      <c r="H367" s="43"/>
      <c r="I367" s="44" t="n">
        <f aca="false">IF(F367="",0,F367*G367)</f>
        <v>0</v>
      </c>
      <c r="N367" s="44" t="str">
        <f aca="false">IF(AND(M367&lt;&gt;"",F367&lt;&gt;""),F367*M367,"")</f>
        <v/>
      </c>
    </row>
    <row r="368" customFormat="false" ht="15" hidden="false" customHeight="false" outlineLevel="0" collapsed="false">
      <c r="A368" s="37" t="str">
        <f aca="false">IF(B368="","",ROW()-3)</f>
        <v/>
      </c>
      <c r="B368" s="38"/>
      <c r="C368" s="39"/>
      <c r="D368" s="39"/>
      <c r="E368" s="39"/>
      <c r="F368" s="39"/>
      <c r="G368" s="40"/>
      <c r="H368" s="39"/>
      <c r="I368" s="40" t="n">
        <f aca="false">IF(F368="",0,F368*G368)</f>
        <v>0</v>
      </c>
      <c r="J368" s="39"/>
      <c r="K368" s="39"/>
      <c r="L368" s="39"/>
      <c r="M368" s="39"/>
      <c r="N368" s="40" t="str">
        <f aca="false">IF(AND(M368&lt;&gt;"",F368&lt;&gt;""),F368*M368,"")</f>
        <v/>
      </c>
    </row>
    <row r="369" customFormat="false" ht="15" hidden="false" customHeight="false" outlineLevel="0" collapsed="false">
      <c r="A369" s="41" t="str">
        <f aca="false">IF(B369="","",ROW()-3)</f>
        <v/>
      </c>
      <c r="B369" s="42"/>
      <c r="C369" s="43"/>
      <c r="G369" s="44"/>
      <c r="H369" s="43"/>
      <c r="I369" s="44" t="n">
        <f aca="false">IF(F369="",0,F369*G369)</f>
        <v>0</v>
      </c>
      <c r="N369" s="44" t="str">
        <f aca="false">IF(AND(M369&lt;&gt;"",F369&lt;&gt;""),F369*M369,"")</f>
        <v/>
      </c>
    </row>
    <row r="370" customFormat="false" ht="15" hidden="false" customHeight="false" outlineLevel="0" collapsed="false">
      <c r="A370" s="37" t="str">
        <f aca="false">IF(B370="","",ROW()-3)</f>
        <v/>
      </c>
      <c r="B370" s="38"/>
      <c r="C370" s="39"/>
      <c r="D370" s="39"/>
      <c r="E370" s="39"/>
      <c r="F370" s="39"/>
      <c r="G370" s="40"/>
      <c r="H370" s="39"/>
      <c r="I370" s="40" t="n">
        <f aca="false">IF(F370="",0,F370*G370)</f>
        <v>0</v>
      </c>
      <c r="J370" s="39"/>
      <c r="K370" s="39"/>
      <c r="L370" s="39"/>
      <c r="M370" s="39"/>
      <c r="N370" s="40" t="str">
        <f aca="false">IF(AND(M370&lt;&gt;"",F370&lt;&gt;""),F370*M370,"")</f>
        <v/>
      </c>
    </row>
    <row r="371" customFormat="false" ht="15" hidden="false" customHeight="false" outlineLevel="0" collapsed="false">
      <c r="A371" s="41" t="str">
        <f aca="false">IF(B371="","",ROW()-3)</f>
        <v/>
      </c>
      <c r="B371" s="42"/>
      <c r="C371" s="43"/>
      <c r="G371" s="44"/>
      <c r="H371" s="43"/>
      <c r="I371" s="44" t="n">
        <f aca="false">IF(F371="",0,F371*G371)</f>
        <v>0</v>
      </c>
      <c r="N371" s="44" t="str">
        <f aca="false">IF(AND(M371&lt;&gt;"",F371&lt;&gt;""),F371*M371,"")</f>
        <v/>
      </c>
    </row>
    <row r="372" customFormat="false" ht="15" hidden="false" customHeight="false" outlineLevel="0" collapsed="false">
      <c r="A372" s="37" t="str">
        <f aca="false">IF(B372="","",ROW()-3)</f>
        <v/>
      </c>
      <c r="B372" s="38"/>
      <c r="C372" s="39"/>
      <c r="D372" s="39"/>
      <c r="E372" s="39"/>
      <c r="F372" s="39"/>
      <c r="G372" s="40"/>
      <c r="H372" s="39"/>
      <c r="I372" s="40" t="n">
        <f aca="false">IF(F372="",0,F372*G372)</f>
        <v>0</v>
      </c>
      <c r="J372" s="39"/>
      <c r="K372" s="39"/>
      <c r="L372" s="39"/>
      <c r="M372" s="39"/>
      <c r="N372" s="40" t="str">
        <f aca="false">IF(AND(M372&lt;&gt;"",F372&lt;&gt;""),F372*M372,"")</f>
        <v/>
      </c>
    </row>
    <row r="373" customFormat="false" ht="15" hidden="false" customHeight="false" outlineLevel="0" collapsed="false">
      <c r="A373" s="41" t="str">
        <f aca="false">IF(B373="","",ROW()-3)</f>
        <v/>
      </c>
      <c r="B373" s="42"/>
      <c r="C373" s="43"/>
      <c r="G373" s="44"/>
      <c r="H373" s="43"/>
      <c r="I373" s="44" t="n">
        <f aca="false">IF(F373="",0,F373*G373)</f>
        <v>0</v>
      </c>
      <c r="N373" s="44" t="str">
        <f aca="false">IF(AND(M373&lt;&gt;"",F373&lt;&gt;""),F373*M373,"")</f>
        <v/>
      </c>
    </row>
    <row r="374" customFormat="false" ht="15" hidden="false" customHeight="false" outlineLevel="0" collapsed="false">
      <c r="A374" s="37" t="str">
        <f aca="false">IF(B374="","",ROW()-3)</f>
        <v/>
      </c>
      <c r="B374" s="38"/>
      <c r="C374" s="39"/>
      <c r="D374" s="39"/>
      <c r="E374" s="39"/>
      <c r="F374" s="39"/>
      <c r="G374" s="40"/>
      <c r="H374" s="39"/>
      <c r="I374" s="40" t="n">
        <f aca="false">IF(F374="",0,F374*G374)</f>
        <v>0</v>
      </c>
      <c r="J374" s="39"/>
      <c r="K374" s="39"/>
      <c r="L374" s="39"/>
      <c r="M374" s="39"/>
      <c r="N374" s="40" t="str">
        <f aca="false">IF(AND(M374&lt;&gt;"",F374&lt;&gt;""),F374*M374,"")</f>
        <v/>
      </c>
    </row>
    <row r="375" customFormat="false" ht="15" hidden="false" customHeight="false" outlineLevel="0" collapsed="false">
      <c r="A375" s="41" t="str">
        <f aca="false">IF(B375="","",ROW()-3)</f>
        <v/>
      </c>
      <c r="B375" s="42"/>
      <c r="C375" s="43"/>
      <c r="G375" s="44"/>
      <c r="H375" s="43"/>
      <c r="I375" s="44" t="n">
        <f aca="false">IF(F375="",0,F375*G375)</f>
        <v>0</v>
      </c>
      <c r="N375" s="44" t="str">
        <f aca="false">IF(AND(M375&lt;&gt;"",F375&lt;&gt;""),F375*M375,"")</f>
        <v/>
      </c>
    </row>
    <row r="376" customFormat="false" ht="15" hidden="false" customHeight="false" outlineLevel="0" collapsed="false">
      <c r="A376" s="37" t="str">
        <f aca="false">IF(B376="","",ROW()-3)</f>
        <v/>
      </c>
      <c r="B376" s="38"/>
      <c r="C376" s="39"/>
      <c r="D376" s="39"/>
      <c r="E376" s="39"/>
      <c r="F376" s="39"/>
      <c r="G376" s="40"/>
      <c r="H376" s="39"/>
      <c r="I376" s="40" t="n">
        <f aca="false">IF(F376="",0,F376*G376)</f>
        <v>0</v>
      </c>
      <c r="J376" s="39"/>
      <c r="K376" s="39"/>
      <c r="L376" s="39"/>
      <c r="M376" s="39"/>
      <c r="N376" s="40" t="str">
        <f aca="false">IF(AND(M376&lt;&gt;"",F376&lt;&gt;""),F376*M376,"")</f>
        <v/>
      </c>
    </row>
    <row r="377" customFormat="false" ht="15" hidden="false" customHeight="false" outlineLevel="0" collapsed="false">
      <c r="A377" s="41" t="str">
        <f aca="false">IF(B377="","",ROW()-3)</f>
        <v/>
      </c>
      <c r="B377" s="42"/>
      <c r="C377" s="43"/>
      <c r="G377" s="44"/>
      <c r="H377" s="43"/>
      <c r="I377" s="44" t="n">
        <f aca="false">IF(F377="",0,F377*G377)</f>
        <v>0</v>
      </c>
      <c r="N377" s="44" t="str">
        <f aca="false">IF(AND(M377&lt;&gt;"",F377&lt;&gt;""),F377*M377,"")</f>
        <v/>
      </c>
    </row>
    <row r="378" customFormat="false" ht="15" hidden="false" customHeight="false" outlineLevel="0" collapsed="false">
      <c r="A378" s="37" t="str">
        <f aca="false">IF(B378="","",ROW()-3)</f>
        <v/>
      </c>
      <c r="B378" s="38"/>
      <c r="C378" s="39"/>
      <c r="D378" s="39"/>
      <c r="E378" s="39"/>
      <c r="F378" s="39"/>
      <c r="G378" s="40"/>
      <c r="H378" s="39"/>
      <c r="I378" s="40" t="n">
        <f aca="false">IF(F378="",0,F378*G378)</f>
        <v>0</v>
      </c>
      <c r="J378" s="39"/>
      <c r="K378" s="39"/>
      <c r="L378" s="39"/>
      <c r="M378" s="39"/>
      <c r="N378" s="40" t="str">
        <f aca="false">IF(AND(M378&lt;&gt;"",F378&lt;&gt;""),F378*M378,"")</f>
        <v/>
      </c>
    </row>
    <row r="379" customFormat="false" ht="15" hidden="false" customHeight="false" outlineLevel="0" collapsed="false">
      <c r="A379" s="41" t="str">
        <f aca="false">IF(B379="","",ROW()-3)</f>
        <v/>
      </c>
      <c r="B379" s="42"/>
      <c r="C379" s="43"/>
      <c r="G379" s="44"/>
      <c r="H379" s="43"/>
      <c r="I379" s="44" t="n">
        <f aca="false">IF(F379="",0,F379*G379)</f>
        <v>0</v>
      </c>
      <c r="N379" s="44" t="str">
        <f aca="false">IF(AND(M379&lt;&gt;"",F379&lt;&gt;""),F379*M379,"")</f>
        <v/>
      </c>
    </row>
    <row r="380" customFormat="false" ht="15" hidden="false" customHeight="false" outlineLevel="0" collapsed="false">
      <c r="A380" s="37" t="str">
        <f aca="false">IF(B380="","",ROW()-3)</f>
        <v/>
      </c>
      <c r="B380" s="38"/>
      <c r="C380" s="39"/>
      <c r="D380" s="39"/>
      <c r="E380" s="39"/>
      <c r="F380" s="39"/>
      <c r="G380" s="40"/>
      <c r="H380" s="39"/>
      <c r="I380" s="40" t="n">
        <f aca="false">IF(F380="",0,F380*G380)</f>
        <v>0</v>
      </c>
      <c r="J380" s="39"/>
      <c r="K380" s="39"/>
      <c r="L380" s="39"/>
      <c r="M380" s="39"/>
      <c r="N380" s="40" t="str">
        <f aca="false">IF(AND(M380&lt;&gt;"",F380&lt;&gt;""),F380*M380,"")</f>
        <v/>
      </c>
    </row>
    <row r="381" customFormat="false" ht="15" hidden="false" customHeight="false" outlineLevel="0" collapsed="false">
      <c r="A381" s="41" t="str">
        <f aca="false">IF(B381="","",ROW()-3)</f>
        <v/>
      </c>
      <c r="B381" s="42"/>
      <c r="C381" s="43"/>
      <c r="G381" s="44"/>
      <c r="H381" s="43"/>
      <c r="I381" s="44" t="n">
        <f aca="false">IF(F381="",0,F381*G381)</f>
        <v>0</v>
      </c>
      <c r="N381" s="44" t="str">
        <f aca="false">IF(AND(M381&lt;&gt;"",F381&lt;&gt;""),F381*M381,"")</f>
        <v/>
      </c>
    </row>
    <row r="382" customFormat="false" ht="15" hidden="false" customHeight="false" outlineLevel="0" collapsed="false">
      <c r="A382" s="37" t="str">
        <f aca="false">IF(B382="","",ROW()-3)</f>
        <v/>
      </c>
      <c r="B382" s="38"/>
      <c r="C382" s="39"/>
      <c r="D382" s="39"/>
      <c r="E382" s="39"/>
      <c r="F382" s="39"/>
      <c r="G382" s="40"/>
      <c r="H382" s="39"/>
      <c r="I382" s="40" t="n">
        <f aca="false">IF(F382="",0,F382*G382)</f>
        <v>0</v>
      </c>
      <c r="J382" s="39"/>
      <c r="K382" s="39"/>
      <c r="L382" s="39"/>
      <c r="M382" s="39"/>
      <c r="N382" s="40" t="str">
        <f aca="false">IF(AND(M382&lt;&gt;"",F382&lt;&gt;""),F382*M382,"")</f>
        <v/>
      </c>
    </row>
    <row r="383" customFormat="false" ht="15" hidden="false" customHeight="false" outlineLevel="0" collapsed="false">
      <c r="A383" s="41" t="str">
        <f aca="false">IF(B383="","",ROW()-3)</f>
        <v/>
      </c>
      <c r="B383" s="42"/>
      <c r="C383" s="43"/>
      <c r="G383" s="44"/>
      <c r="H383" s="43"/>
      <c r="I383" s="44" t="n">
        <f aca="false">IF(F383="",0,F383*G383)</f>
        <v>0</v>
      </c>
      <c r="N383" s="44" t="str">
        <f aca="false">IF(AND(M383&lt;&gt;"",F383&lt;&gt;""),F383*M383,"")</f>
        <v/>
      </c>
    </row>
    <row r="384" customFormat="false" ht="15" hidden="false" customHeight="false" outlineLevel="0" collapsed="false">
      <c r="A384" s="37" t="str">
        <f aca="false">IF(B384="","",ROW()-3)</f>
        <v/>
      </c>
      <c r="B384" s="38"/>
      <c r="C384" s="39"/>
      <c r="D384" s="39"/>
      <c r="E384" s="39"/>
      <c r="F384" s="39"/>
      <c r="G384" s="40"/>
      <c r="H384" s="39"/>
      <c r="I384" s="40" t="n">
        <f aca="false">IF(F384="",0,F384*G384)</f>
        <v>0</v>
      </c>
      <c r="J384" s="39"/>
      <c r="K384" s="39"/>
      <c r="L384" s="39"/>
      <c r="M384" s="39"/>
      <c r="N384" s="40" t="str">
        <f aca="false">IF(AND(M384&lt;&gt;"",F384&lt;&gt;""),F384*M384,"")</f>
        <v/>
      </c>
    </row>
    <row r="385" customFormat="false" ht="15" hidden="false" customHeight="false" outlineLevel="0" collapsed="false">
      <c r="A385" s="41" t="str">
        <f aca="false">IF(B385="","",ROW()-3)</f>
        <v/>
      </c>
      <c r="B385" s="42"/>
      <c r="C385" s="43"/>
      <c r="G385" s="44"/>
      <c r="H385" s="43"/>
      <c r="I385" s="44" t="n">
        <f aca="false">IF(F385="",0,F385*G385)</f>
        <v>0</v>
      </c>
      <c r="N385" s="44" t="str">
        <f aca="false">IF(AND(M385&lt;&gt;"",F385&lt;&gt;""),F385*M385,"")</f>
        <v/>
      </c>
    </row>
    <row r="386" customFormat="false" ht="15" hidden="false" customHeight="false" outlineLevel="0" collapsed="false">
      <c r="A386" s="37" t="str">
        <f aca="false">IF(B386="","",ROW()-3)</f>
        <v/>
      </c>
      <c r="B386" s="38"/>
      <c r="C386" s="39"/>
      <c r="D386" s="39"/>
      <c r="E386" s="39"/>
      <c r="F386" s="39"/>
      <c r="G386" s="40"/>
      <c r="H386" s="39"/>
      <c r="I386" s="40" t="n">
        <f aca="false">IF(F386="",0,F386*G386)</f>
        <v>0</v>
      </c>
      <c r="J386" s="39"/>
      <c r="K386" s="39"/>
      <c r="L386" s="39"/>
      <c r="M386" s="39"/>
      <c r="N386" s="40" t="str">
        <f aca="false">IF(AND(M386&lt;&gt;"",F386&lt;&gt;""),F386*M386,"")</f>
        <v/>
      </c>
    </row>
    <row r="387" customFormat="false" ht="15" hidden="false" customHeight="false" outlineLevel="0" collapsed="false">
      <c r="A387" s="41" t="str">
        <f aca="false">IF(B387="","",ROW()-3)</f>
        <v/>
      </c>
      <c r="B387" s="42"/>
      <c r="C387" s="43"/>
      <c r="G387" s="44"/>
      <c r="H387" s="43"/>
      <c r="I387" s="44" t="n">
        <f aca="false">IF(F387="",0,F387*G387)</f>
        <v>0</v>
      </c>
      <c r="N387" s="44" t="str">
        <f aca="false">IF(AND(M387&lt;&gt;"",F387&lt;&gt;""),F387*M387,"")</f>
        <v/>
      </c>
    </row>
    <row r="388" customFormat="false" ht="15" hidden="false" customHeight="false" outlineLevel="0" collapsed="false">
      <c r="A388" s="37" t="str">
        <f aca="false">IF(B388="","",ROW()-3)</f>
        <v/>
      </c>
      <c r="B388" s="38"/>
      <c r="C388" s="39"/>
      <c r="D388" s="39"/>
      <c r="E388" s="39"/>
      <c r="F388" s="39"/>
      <c r="G388" s="40"/>
      <c r="H388" s="39"/>
      <c r="I388" s="40" t="n">
        <f aca="false">IF(F388="",0,F388*G388)</f>
        <v>0</v>
      </c>
      <c r="J388" s="39"/>
      <c r="K388" s="39"/>
      <c r="L388" s="39"/>
      <c r="M388" s="39"/>
      <c r="N388" s="40" t="str">
        <f aca="false">IF(AND(M388&lt;&gt;"",F388&lt;&gt;""),F388*M388,"")</f>
        <v/>
      </c>
    </row>
    <row r="389" customFormat="false" ht="15" hidden="false" customHeight="false" outlineLevel="0" collapsed="false">
      <c r="A389" s="41" t="str">
        <f aca="false">IF(B389="","",ROW()-3)</f>
        <v/>
      </c>
      <c r="B389" s="42"/>
      <c r="C389" s="43"/>
      <c r="G389" s="44"/>
      <c r="H389" s="43"/>
      <c r="I389" s="44" t="n">
        <f aca="false">IF(F389="",0,F389*G389)</f>
        <v>0</v>
      </c>
      <c r="N389" s="44" t="str">
        <f aca="false">IF(AND(M389&lt;&gt;"",F389&lt;&gt;""),F389*M389,"")</f>
        <v/>
      </c>
    </row>
    <row r="390" customFormat="false" ht="15" hidden="false" customHeight="false" outlineLevel="0" collapsed="false">
      <c r="A390" s="37" t="str">
        <f aca="false">IF(B390="","",ROW()-3)</f>
        <v/>
      </c>
      <c r="B390" s="38"/>
      <c r="C390" s="39"/>
      <c r="D390" s="39"/>
      <c r="E390" s="39"/>
      <c r="F390" s="39"/>
      <c r="G390" s="40"/>
      <c r="H390" s="39"/>
      <c r="I390" s="40" t="n">
        <f aca="false">IF(F390="",0,F390*G390)</f>
        <v>0</v>
      </c>
      <c r="J390" s="39"/>
      <c r="K390" s="39"/>
      <c r="L390" s="39"/>
      <c r="M390" s="39"/>
      <c r="N390" s="40" t="str">
        <f aca="false">IF(AND(M390&lt;&gt;"",F390&lt;&gt;""),F390*M390,"")</f>
        <v/>
      </c>
    </row>
    <row r="391" customFormat="false" ht="15" hidden="false" customHeight="false" outlineLevel="0" collapsed="false">
      <c r="A391" s="41" t="str">
        <f aca="false">IF(B391="","",ROW()-3)</f>
        <v/>
      </c>
      <c r="B391" s="42"/>
      <c r="C391" s="43"/>
      <c r="G391" s="44"/>
      <c r="H391" s="43"/>
      <c r="I391" s="44" t="n">
        <f aca="false">IF(F391="",0,F391*G391)</f>
        <v>0</v>
      </c>
      <c r="N391" s="44" t="str">
        <f aca="false">IF(AND(M391&lt;&gt;"",F391&lt;&gt;""),F391*M391,"")</f>
        <v/>
      </c>
    </row>
    <row r="392" customFormat="false" ht="15" hidden="false" customHeight="false" outlineLevel="0" collapsed="false">
      <c r="A392" s="37" t="str">
        <f aca="false">IF(B392="","",ROW()-3)</f>
        <v/>
      </c>
      <c r="B392" s="38"/>
      <c r="C392" s="39"/>
      <c r="D392" s="39"/>
      <c r="E392" s="39"/>
      <c r="F392" s="39"/>
      <c r="G392" s="40"/>
      <c r="H392" s="39"/>
      <c r="I392" s="40" t="n">
        <f aca="false">IF(F392="",0,F392*G392)</f>
        <v>0</v>
      </c>
      <c r="J392" s="39"/>
      <c r="K392" s="39"/>
      <c r="L392" s="39"/>
      <c r="M392" s="39"/>
      <c r="N392" s="40" t="str">
        <f aca="false">IF(AND(M392&lt;&gt;"",F392&lt;&gt;""),F392*M392,"")</f>
        <v/>
      </c>
    </row>
    <row r="393" customFormat="false" ht="15" hidden="false" customHeight="false" outlineLevel="0" collapsed="false">
      <c r="A393" s="41" t="str">
        <f aca="false">IF(B393="","",ROW()-3)</f>
        <v/>
      </c>
      <c r="B393" s="42"/>
      <c r="C393" s="43"/>
      <c r="G393" s="44"/>
      <c r="H393" s="43"/>
      <c r="I393" s="44" t="n">
        <f aca="false">IF(F393="",0,F393*G393)</f>
        <v>0</v>
      </c>
      <c r="N393" s="44" t="str">
        <f aca="false">IF(AND(M393&lt;&gt;"",F393&lt;&gt;""),F393*M393,"")</f>
        <v/>
      </c>
    </row>
    <row r="394" customFormat="false" ht="15" hidden="false" customHeight="false" outlineLevel="0" collapsed="false">
      <c r="A394" s="37" t="str">
        <f aca="false">IF(B394="","",ROW()-3)</f>
        <v/>
      </c>
      <c r="B394" s="38"/>
      <c r="C394" s="39"/>
      <c r="D394" s="39"/>
      <c r="E394" s="39"/>
      <c r="F394" s="39"/>
      <c r="G394" s="40"/>
      <c r="H394" s="39"/>
      <c r="I394" s="40" t="n">
        <f aca="false">IF(F394="",0,F394*G394)</f>
        <v>0</v>
      </c>
      <c r="J394" s="39"/>
      <c r="K394" s="39"/>
      <c r="L394" s="39"/>
      <c r="M394" s="39"/>
      <c r="N394" s="40" t="str">
        <f aca="false">IF(AND(M394&lt;&gt;"",F394&lt;&gt;""),F394*M394,"")</f>
        <v/>
      </c>
    </row>
    <row r="395" customFormat="false" ht="15" hidden="false" customHeight="false" outlineLevel="0" collapsed="false">
      <c r="A395" s="41" t="str">
        <f aca="false">IF(B395="","",ROW()-3)</f>
        <v/>
      </c>
      <c r="B395" s="42"/>
      <c r="C395" s="43"/>
      <c r="G395" s="44"/>
      <c r="H395" s="43"/>
      <c r="I395" s="44" t="n">
        <f aca="false">IF(F395="",0,F395*G395)</f>
        <v>0</v>
      </c>
      <c r="N395" s="44" t="str">
        <f aca="false">IF(AND(M395&lt;&gt;"",F395&lt;&gt;""),F395*M395,"")</f>
        <v/>
      </c>
    </row>
    <row r="396" customFormat="false" ht="15" hidden="false" customHeight="false" outlineLevel="0" collapsed="false">
      <c r="A396" s="37" t="str">
        <f aca="false">IF(B396="","",ROW()-3)</f>
        <v/>
      </c>
      <c r="B396" s="38"/>
      <c r="C396" s="39"/>
      <c r="D396" s="39"/>
      <c r="E396" s="39"/>
      <c r="F396" s="39"/>
      <c r="G396" s="40"/>
      <c r="H396" s="39"/>
      <c r="I396" s="40" t="n">
        <f aca="false">IF(F396="",0,F396*G396)</f>
        <v>0</v>
      </c>
      <c r="J396" s="39"/>
      <c r="K396" s="39"/>
      <c r="L396" s="39"/>
      <c r="M396" s="39"/>
      <c r="N396" s="40" t="str">
        <f aca="false">IF(AND(M396&lt;&gt;"",F396&lt;&gt;""),F396*M396,"")</f>
        <v/>
      </c>
    </row>
    <row r="397" customFormat="false" ht="15" hidden="false" customHeight="false" outlineLevel="0" collapsed="false">
      <c r="A397" s="41" t="str">
        <f aca="false">IF(B397="","",ROW()-3)</f>
        <v/>
      </c>
      <c r="B397" s="42"/>
      <c r="C397" s="43"/>
      <c r="G397" s="44"/>
      <c r="H397" s="43"/>
      <c r="I397" s="44" t="n">
        <f aca="false">IF(F397="",0,F397*G397)</f>
        <v>0</v>
      </c>
      <c r="N397" s="44" t="str">
        <f aca="false">IF(AND(M397&lt;&gt;"",F397&lt;&gt;""),F397*M397,"")</f>
        <v/>
      </c>
    </row>
    <row r="398" customFormat="false" ht="15" hidden="false" customHeight="false" outlineLevel="0" collapsed="false">
      <c r="A398" s="37" t="str">
        <f aca="false">IF(B398="","",ROW()-3)</f>
        <v/>
      </c>
      <c r="B398" s="38"/>
      <c r="C398" s="39"/>
      <c r="D398" s="39"/>
      <c r="E398" s="39"/>
      <c r="F398" s="39"/>
      <c r="G398" s="40"/>
      <c r="H398" s="39"/>
      <c r="I398" s="40" t="n">
        <f aca="false">IF(F398="",0,F398*G398)</f>
        <v>0</v>
      </c>
      <c r="J398" s="39"/>
      <c r="K398" s="39"/>
      <c r="L398" s="39"/>
      <c r="M398" s="39"/>
      <c r="N398" s="40" t="str">
        <f aca="false">IF(AND(M398&lt;&gt;"",F398&lt;&gt;""),F398*M398,"")</f>
        <v/>
      </c>
    </row>
    <row r="399" customFormat="false" ht="15" hidden="false" customHeight="false" outlineLevel="0" collapsed="false">
      <c r="A399" s="41" t="str">
        <f aca="false">IF(B399="","",ROW()-3)</f>
        <v/>
      </c>
      <c r="B399" s="42"/>
      <c r="C399" s="43"/>
      <c r="G399" s="44"/>
      <c r="H399" s="43"/>
      <c r="I399" s="44" t="n">
        <f aca="false">IF(F399="",0,F399*G399)</f>
        <v>0</v>
      </c>
      <c r="N399" s="44" t="str">
        <f aca="false">IF(AND(M399&lt;&gt;"",F399&lt;&gt;""),F399*M399,"")</f>
        <v/>
      </c>
    </row>
    <row r="400" customFormat="false" ht="15" hidden="false" customHeight="false" outlineLevel="0" collapsed="false">
      <c r="A400" s="37" t="str">
        <f aca="false">IF(B400="","",ROW()-3)</f>
        <v/>
      </c>
      <c r="B400" s="38"/>
      <c r="C400" s="39"/>
      <c r="D400" s="39"/>
      <c r="E400" s="39"/>
      <c r="F400" s="39"/>
      <c r="G400" s="40"/>
      <c r="H400" s="39"/>
      <c r="I400" s="40" t="n">
        <f aca="false">IF(F400="",0,F400*G400)</f>
        <v>0</v>
      </c>
      <c r="J400" s="39"/>
      <c r="K400" s="39"/>
      <c r="L400" s="39"/>
      <c r="M400" s="39"/>
      <c r="N400" s="40" t="str">
        <f aca="false">IF(AND(M400&lt;&gt;"",F400&lt;&gt;""),F400*M400,"")</f>
        <v/>
      </c>
    </row>
    <row r="401" customFormat="false" ht="15" hidden="false" customHeight="false" outlineLevel="0" collapsed="false">
      <c r="A401" s="41" t="str">
        <f aca="false">IF(B401="","",ROW()-3)</f>
        <v/>
      </c>
      <c r="B401" s="42"/>
      <c r="C401" s="43"/>
      <c r="G401" s="44"/>
      <c r="H401" s="43"/>
      <c r="I401" s="44" t="n">
        <f aca="false">IF(F401="",0,F401*G401)</f>
        <v>0</v>
      </c>
      <c r="N401" s="44" t="str">
        <f aca="false">IF(AND(M401&lt;&gt;"",F401&lt;&gt;""),F401*M401,"")</f>
        <v/>
      </c>
    </row>
    <row r="402" customFormat="false" ht="15" hidden="false" customHeight="false" outlineLevel="0" collapsed="false">
      <c r="A402" s="37" t="str">
        <f aca="false">IF(B402="","",ROW()-3)</f>
        <v/>
      </c>
      <c r="B402" s="38"/>
      <c r="C402" s="39"/>
      <c r="D402" s="39"/>
      <c r="E402" s="39"/>
      <c r="F402" s="39"/>
      <c r="G402" s="40"/>
      <c r="H402" s="39"/>
      <c r="I402" s="40" t="n">
        <f aca="false">IF(F402="",0,F402*G402)</f>
        <v>0</v>
      </c>
      <c r="J402" s="39"/>
      <c r="K402" s="39"/>
      <c r="L402" s="39"/>
      <c r="M402" s="39"/>
      <c r="N402" s="40" t="str">
        <f aca="false">IF(AND(M402&lt;&gt;"",F402&lt;&gt;""),F402*M402,"")</f>
        <v/>
      </c>
    </row>
    <row r="403" customFormat="false" ht="15" hidden="false" customHeight="false" outlineLevel="0" collapsed="false">
      <c r="A403" s="41" t="str">
        <f aca="false">IF(B403="","",ROW()-3)</f>
        <v/>
      </c>
      <c r="B403" s="42"/>
      <c r="C403" s="43"/>
      <c r="G403" s="44"/>
      <c r="H403" s="43"/>
      <c r="I403" s="44" t="n">
        <f aca="false">IF(F403="",0,F403*G403)</f>
        <v>0</v>
      </c>
      <c r="N403" s="44" t="str">
        <f aca="false">IF(AND(M403&lt;&gt;"",F403&lt;&gt;""),F403*M403,"")</f>
        <v/>
      </c>
    </row>
    <row r="404" customFormat="false" ht="15" hidden="false" customHeight="false" outlineLevel="0" collapsed="false">
      <c r="A404" s="37" t="str">
        <f aca="false">IF(B404="","",ROW()-3)</f>
        <v/>
      </c>
      <c r="B404" s="38"/>
      <c r="C404" s="39"/>
      <c r="D404" s="39"/>
      <c r="E404" s="39"/>
      <c r="F404" s="39"/>
      <c r="G404" s="40"/>
      <c r="H404" s="39"/>
      <c r="I404" s="40" t="n">
        <f aca="false">IF(F404="",0,F404*G404)</f>
        <v>0</v>
      </c>
      <c r="J404" s="39"/>
      <c r="K404" s="39"/>
      <c r="L404" s="39"/>
      <c r="M404" s="39"/>
      <c r="N404" s="40" t="str">
        <f aca="false">IF(AND(M404&lt;&gt;"",F404&lt;&gt;""),F404*M404,"")</f>
        <v/>
      </c>
    </row>
    <row r="405" customFormat="false" ht="15" hidden="false" customHeight="false" outlineLevel="0" collapsed="false">
      <c r="A405" s="41" t="str">
        <f aca="false">IF(B405="","",ROW()-3)</f>
        <v/>
      </c>
      <c r="B405" s="42"/>
      <c r="C405" s="43"/>
      <c r="G405" s="44"/>
      <c r="H405" s="43"/>
      <c r="I405" s="44" t="n">
        <f aca="false">IF(F405="",0,F405*G405)</f>
        <v>0</v>
      </c>
      <c r="N405" s="44" t="str">
        <f aca="false">IF(AND(M405&lt;&gt;"",F405&lt;&gt;""),F405*M405,"")</f>
        <v/>
      </c>
    </row>
    <row r="406" customFormat="false" ht="15" hidden="false" customHeight="false" outlineLevel="0" collapsed="false">
      <c r="A406" s="37" t="str">
        <f aca="false">IF(B406="","",ROW()-3)</f>
        <v/>
      </c>
      <c r="B406" s="38"/>
      <c r="C406" s="39"/>
      <c r="D406" s="39"/>
      <c r="E406" s="39"/>
      <c r="F406" s="39"/>
      <c r="G406" s="40"/>
      <c r="H406" s="39"/>
      <c r="I406" s="40" t="n">
        <f aca="false">IF(F406="",0,F406*G406)</f>
        <v>0</v>
      </c>
      <c r="J406" s="39"/>
      <c r="K406" s="39"/>
      <c r="L406" s="39"/>
      <c r="M406" s="39"/>
      <c r="N406" s="40" t="str">
        <f aca="false">IF(AND(M406&lt;&gt;"",F406&lt;&gt;""),F406*M406,"")</f>
        <v/>
      </c>
    </row>
    <row r="407" customFormat="false" ht="15" hidden="false" customHeight="false" outlineLevel="0" collapsed="false">
      <c r="A407" s="41" t="str">
        <f aca="false">IF(B407="","",ROW()-3)</f>
        <v/>
      </c>
      <c r="B407" s="42"/>
      <c r="C407" s="43"/>
      <c r="G407" s="44"/>
      <c r="H407" s="43"/>
      <c r="I407" s="44" t="n">
        <f aca="false">IF(F407="",0,F407*G407)</f>
        <v>0</v>
      </c>
      <c r="N407" s="44" t="str">
        <f aca="false">IF(AND(M407&lt;&gt;"",F407&lt;&gt;""),F407*M407,"")</f>
        <v/>
      </c>
    </row>
    <row r="408" customFormat="false" ht="15" hidden="false" customHeight="false" outlineLevel="0" collapsed="false">
      <c r="A408" s="37" t="str">
        <f aca="false">IF(B408="","",ROW()-3)</f>
        <v/>
      </c>
      <c r="B408" s="38"/>
      <c r="C408" s="39"/>
      <c r="D408" s="39"/>
      <c r="E408" s="39"/>
      <c r="F408" s="39"/>
      <c r="G408" s="40"/>
      <c r="H408" s="39"/>
      <c r="I408" s="40" t="n">
        <f aca="false">IF(F408="",0,F408*G408)</f>
        <v>0</v>
      </c>
      <c r="J408" s="39"/>
      <c r="K408" s="39"/>
      <c r="L408" s="39"/>
      <c r="M408" s="39"/>
      <c r="N408" s="40" t="str">
        <f aca="false">IF(AND(M408&lt;&gt;"",F408&lt;&gt;""),F408*M408,"")</f>
        <v/>
      </c>
    </row>
    <row r="409" customFormat="false" ht="15" hidden="false" customHeight="false" outlineLevel="0" collapsed="false">
      <c r="A409" s="41" t="str">
        <f aca="false">IF(B409="","",ROW()-3)</f>
        <v/>
      </c>
      <c r="B409" s="42"/>
      <c r="C409" s="43"/>
      <c r="G409" s="44"/>
      <c r="H409" s="43"/>
      <c r="I409" s="44" t="n">
        <f aca="false">IF(F409="",0,F409*G409)</f>
        <v>0</v>
      </c>
      <c r="N409" s="44" t="str">
        <f aca="false">IF(AND(M409&lt;&gt;"",F409&lt;&gt;""),F409*M409,"")</f>
        <v/>
      </c>
    </row>
    <row r="410" customFormat="false" ht="15" hidden="false" customHeight="false" outlineLevel="0" collapsed="false">
      <c r="A410" s="37" t="str">
        <f aca="false">IF(B410="","",ROW()-3)</f>
        <v/>
      </c>
      <c r="B410" s="38"/>
      <c r="C410" s="39"/>
      <c r="D410" s="39"/>
      <c r="E410" s="39"/>
      <c r="F410" s="39"/>
      <c r="G410" s="40"/>
      <c r="H410" s="39"/>
      <c r="I410" s="40" t="n">
        <f aca="false">IF(F410="",0,F410*G410)</f>
        <v>0</v>
      </c>
      <c r="J410" s="39"/>
      <c r="K410" s="39"/>
      <c r="L410" s="39"/>
      <c r="M410" s="39"/>
      <c r="N410" s="40" t="str">
        <f aca="false">IF(AND(M410&lt;&gt;"",F410&lt;&gt;""),F410*M410,"")</f>
        <v/>
      </c>
    </row>
    <row r="411" customFormat="false" ht="15" hidden="false" customHeight="false" outlineLevel="0" collapsed="false">
      <c r="A411" s="41" t="str">
        <f aca="false">IF(B411="","",ROW()-3)</f>
        <v/>
      </c>
      <c r="B411" s="42"/>
      <c r="C411" s="43"/>
      <c r="G411" s="44"/>
      <c r="H411" s="43"/>
      <c r="I411" s="44" t="n">
        <f aca="false">IF(F411="",0,F411*G411)</f>
        <v>0</v>
      </c>
      <c r="N411" s="44" t="str">
        <f aca="false">IF(AND(M411&lt;&gt;"",F411&lt;&gt;""),F411*M411,"")</f>
        <v/>
      </c>
    </row>
    <row r="412" customFormat="false" ht="15" hidden="false" customHeight="false" outlineLevel="0" collapsed="false">
      <c r="A412" s="37" t="str">
        <f aca="false">IF(B412="","",ROW()-3)</f>
        <v/>
      </c>
      <c r="B412" s="38"/>
      <c r="C412" s="39"/>
      <c r="D412" s="39"/>
      <c r="E412" s="39"/>
      <c r="F412" s="39"/>
      <c r="G412" s="40"/>
      <c r="H412" s="39"/>
      <c r="I412" s="40" t="n">
        <f aca="false">IF(F412="",0,F412*G412)</f>
        <v>0</v>
      </c>
      <c r="J412" s="39"/>
      <c r="K412" s="39"/>
      <c r="L412" s="39"/>
      <c r="M412" s="39"/>
      <c r="N412" s="40" t="str">
        <f aca="false">IF(AND(M412&lt;&gt;"",F412&lt;&gt;""),F412*M412,"")</f>
        <v/>
      </c>
    </row>
    <row r="413" customFormat="false" ht="15" hidden="false" customHeight="false" outlineLevel="0" collapsed="false">
      <c r="A413" s="41" t="str">
        <f aca="false">IF(B413="","",ROW()-3)</f>
        <v/>
      </c>
      <c r="B413" s="42"/>
      <c r="C413" s="43"/>
      <c r="G413" s="44"/>
      <c r="H413" s="43"/>
      <c r="I413" s="44" t="n">
        <f aca="false">IF(F413="",0,F413*G413)</f>
        <v>0</v>
      </c>
      <c r="N413" s="44" t="str">
        <f aca="false">IF(AND(M413&lt;&gt;"",F413&lt;&gt;""),F413*M413,"")</f>
        <v/>
      </c>
    </row>
    <row r="414" customFormat="false" ht="15" hidden="false" customHeight="false" outlineLevel="0" collapsed="false">
      <c r="A414" s="37" t="str">
        <f aca="false">IF(B414="","",ROW()-3)</f>
        <v/>
      </c>
      <c r="B414" s="38"/>
      <c r="C414" s="39"/>
      <c r="D414" s="39"/>
      <c r="E414" s="39"/>
      <c r="F414" s="39"/>
      <c r="G414" s="40"/>
      <c r="H414" s="39"/>
      <c r="I414" s="40" t="n">
        <f aca="false">IF(F414="",0,F414*G414)</f>
        <v>0</v>
      </c>
      <c r="J414" s="39"/>
      <c r="K414" s="39"/>
      <c r="L414" s="39"/>
      <c r="M414" s="39"/>
      <c r="N414" s="40" t="str">
        <f aca="false">IF(AND(M414&lt;&gt;"",F414&lt;&gt;""),F414*M414,"")</f>
        <v/>
      </c>
    </row>
    <row r="415" customFormat="false" ht="15" hidden="false" customHeight="false" outlineLevel="0" collapsed="false">
      <c r="A415" s="41" t="str">
        <f aca="false">IF(B415="","",ROW()-3)</f>
        <v/>
      </c>
      <c r="B415" s="42"/>
      <c r="C415" s="43"/>
      <c r="G415" s="44"/>
      <c r="H415" s="43"/>
      <c r="I415" s="44" t="n">
        <f aca="false">IF(F415="",0,F415*G415)</f>
        <v>0</v>
      </c>
      <c r="N415" s="44" t="str">
        <f aca="false">IF(AND(M415&lt;&gt;"",F415&lt;&gt;""),F415*M415,"")</f>
        <v/>
      </c>
    </row>
    <row r="416" customFormat="false" ht="15" hidden="false" customHeight="false" outlineLevel="0" collapsed="false">
      <c r="A416" s="37" t="str">
        <f aca="false">IF(B416="","",ROW()-3)</f>
        <v/>
      </c>
      <c r="B416" s="38"/>
      <c r="C416" s="39"/>
      <c r="D416" s="39"/>
      <c r="E416" s="39"/>
      <c r="F416" s="39"/>
      <c r="G416" s="40"/>
      <c r="H416" s="39"/>
      <c r="I416" s="40" t="n">
        <f aca="false">IF(F416="",0,F416*G416)</f>
        <v>0</v>
      </c>
      <c r="J416" s="39"/>
      <c r="K416" s="39"/>
      <c r="L416" s="39"/>
      <c r="M416" s="39"/>
      <c r="N416" s="40" t="str">
        <f aca="false">IF(AND(M416&lt;&gt;"",F416&lt;&gt;""),F416*M416,"")</f>
        <v/>
      </c>
    </row>
    <row r="417" customFormat="false" ht="15" hidden="false" customHeight="false" outlineLevel="0" collapsed="false">
      <c r="A417" s="41" t="str">
        <f aca="false">IF(B417="","",ROW()-3)</f>
        <v/>
      </c>
      <c r="B417" s="42"/>
      <c r="C417" s="43"/>
      <c r="G417" s="44"/>
      <c r="H417" s="43"/>
      <c r="I417" s="44" t="n">
        <f aca="false">IF(F417="",0,F417*G417)</f>
        <v>0</v>
      </c>
      <c r="N417" s="44" t="str">
        <f aca="false">IF(AND(M417&lt;&gt;"",F417&lt;&gt;""),F417*M417,"")</f>
        <v/>
      </c>
    </row>
    <row r="418" customFormat="false" ht="15" hidden="false" customHeight="false" outlineLevel="0" collapsed="false">
      <c r="A418" s="37" t="str">
        <f aca="false">IF(B418="","",ROW()-3)</f>
        <v/>
      </c>
      <c r="B418" s="38"/>
      <c r="C418" s="39"/>
      <c r="D418" s="39"/>
      <c r="E418" s="39"/>
      <c r="F418" s="39"/>
      <c r="G418" s="40"/>
      <c r="H418" s="39"/>
      <c r="I418" s="40" t="n">
        <f aca="false">IF(F418="",0,F418*G418)</f>
        <v>0</v>
      </c>
      <c r="J418" s="39"/>
      <c r="K418" s="39"/>
      <c r="L418" s="39"/>
      <c r="M418" s="39"/>
      <c r="N418" s="40" t="str">
        <f aca="false">IF(AND(M418&lt;&gt;"",F418&lt;&gt;""),F418*M418,"")</f>
        <v/>
      </c>
    </row>
    <row r="419" customFormat="false" ht="15" hidden="false" customHeight="false" outlineLevel="0" collapsed="false">
      <c r="A419" s="41" t="str">
        <f aca="false">IF(B419="","",ROW()-3)</f>
        <v/>
      </c>
      <c r="B419" s="42"/>
      <c r="C419" s="43"/>
      <c r="G419" s="44"/>
      <c r="H419" s="43"/>
      <c r="I419" s="44" t="n">
        <f aca="false">IF(F419="",0,F419*G419)</f>
        <v>0</v>
      </c>
      <c r="N419" s="44" t="str">
        <f aca="false">IF(AND(M419&lt;&gt;"",F419&lt;&gt;""),F419*M419,"")</f>
        <v/>
      </c>
    </row>
    <row r="420" customFormat="false" ht="15" hidden="false" customHeight="false" outlineLevel="0" collapsed="false">
      <c r="A420" s="37" t="str">
        <f aca="false">IF(B420="","",ROW()-3)</f>
        <v/>
      </c>
      <c r="B420" s="38"/>
      <c r="C420" s="39"/>
      <c r="D420" s="39"/>
      <c r="E420" s="39"/>
      <c r="F420" s="39"/>
      <c r="G420" s="40"/>
      <c r="H420" s="39"/>
      <c r="I420" s="40" t="n">
        <f aca="false">IF(F420="",0,F420*G420)</f>
        <v>0</v>
      </c>
      <c r="J420" s="39"/>
      <c r="K420" s="39"/>
      <c r="L420" s="39"/>
      <c r="M420" s="39"/>
      <c r="N420" s="40" t="str">
        <f aca="false">IF(AND(M420&lt;&gt;"",F420&lt;&gt;""),F420*M420,"")</f>
        <v/>
      </c>
    </row>
    <row r="421" customFormat="false" ht="15" hidden="false" customHeight="false" outlineLevel="0" collapsed="false">
      <c r="A421" s="41" t="str">
        <f aca="false">IF(B421="","",ROW()-3)</f>
        <v/>
      </c>
      <c r="B421" s="42"/>
      <c r="C421" s="43"/>
      <c r="G421" s="44"/>
      <c r="H421" s="43"/>
      <c r="I421" s="44" t="n">
        <f aca="false">IF(F421="",0,F421*G421)</f>
        <v>0</v>
      </c>
      <c r="N421" s="44" t="str">
        <f aca="false">IF(AND(M421&lt;&gt;"",F421&lt;&gt;""),F421*M421,"")</f>
        <v/>
      </c>
    </row>
    <row r="422" customFormat="false" ht="15" hidden="false" customHeight="false" outlineLevel="0" collapsed="false">
      <c r="A422" s="37" t="str">
        <f aca="false">IF(B422="","",ROW()-3)</f>
        <v/>
      </c>
      <c r="B422" s="38"/>
      <c r="C422" s="39"/>
      <c r="D422" s="39"/>
      <c r="E422" s="39"/>
      <c r="F422" s="39"/>
      <c r="G422" s="40"/>
      <c r="H422" s="39"/>
      <c r="I422" s="40" t="n">
        <f aca="false">IF(F422="",0,F422*G422)</f>
        <v>0</v>
      </c>
      <c r="J422" s="39"/>
      <c r="K422" s="39"/>
      <c r="L422" s="39"/>
      <c r="M422" s="39"/>
      <c r="N422" s="40" t="str">
        <f aca="false">IF(AND(M422&lt;&gt;"",F422&lt;&gt;""),F422*M422,"")</f>
        <v/>
      </c>
    </row>
    <row r="423" customFormat="false" ht="15" hidden="false" customHeight="false" outlineLevel="0" collapsed="false">
      <c r="A423" s="41" t="str">
        <f aca="false">IF(B423="","",ROW()-3)</f>
        <v/>
      </c>
      <c r="B423" s="42"/>
      <c r="C423" s="43"/>
      <c r="G423" s="44"/>
      <c r="H423" s="43"/>
      <c r="I423" s="44" t="n">
        <f aca="false">IF(F423="",0,F423*G423)</f>
        <v>0</v>
      </c>
      <c r="N423" s="44" t="str">
        <f aca="false">IF(AND(M423&lt;&gt;"",F423&lt;&gt;""),F423*M423,"")</f>
        <v/>
      </c>
    </row>
    <row r="424" customFormat="false" ht="15" hidden="false" customHeight="false" outlineLevel="0" collapsed="false">
      <c r="A424" s="37" t="str">
        <f aca="false">IF(B424="","",ROW()-3)</f>
        <v/>
      </c>
      <c r="B424" s="38"/>
      <c r="C424" s="39"/>
      <c r="D424" s="39"/>
      <c r="E424" s="39"/>
      <c r="F424" s="39"/>
      <c r="G424" s="40"/>
      <c r="H424" s="39"/>
      <c r="I424" s="40" t="n">
        <f aca="false">IF(F424="",0,F424*G424)</f>
        <v>0</v>
      </c>
      <c r="J424" s="39"/>
      <c r="K424" s="39"/>
      <c r="L424" s="39"/>
      <c r="M424" s="39"/>
      <c r="N424" s="40" t="str">
        <f aca="false">IF(AND(M424&lt;&gt;"",F424&lt;&gt;""),F424*M424,"")</f>
        <v/>
      </c>
    </row>
    <row r="425" customFormat="false" ht="15" hidden="false" customHeight="false" outlineLevel="0" collapsed="false">
      <c r="A425" s="41" t="str">
        <f aca="false">IF(B425="","",ROW()-3)</f>
        <v/>
      </c>
      <c r="B425" s="42"/>
      <c r="C425" s="43"/>
      <c r="G425" s="44"/>
      <c r="H425" s="43"/>
      <c r="I425" s="44" t="n">
        <f aca="false">IF(F425="",0,F425*G425)</f>
        <v>0</v>
      </c>
      <c r="N425" s="44" t="str">
        <f aca="false">IF(AND(M425&lt;&gt;"",F425&lt;&gt;""),F425*M425,"")</f>
        <v/>
      </c>
    </row>
    <row r="426" customFormat="false" ht="15" hidden="false" customHeight="false" outlineLevel="0" collapsed="false">
      <c r="A426" s="37" t="str">
        <f aca="false">IF(B426="","",ROW()-3)</f>
        <v/>
      </c>
      <c r="B426" s="38"/>
      <c r="C426" s="39"/>
      <c r="D426" s="39"/>
      <c r="E426" s="39"/>
      <c r="F426" s="39"/>
      <c r="G426" s="40"/>
      <c r="H426" s="39"/>
      <c r="I426" s="40" t="n">
        <f aca="false">IF(F426="",0,F426*G426)</f>
        <v>0</v>
      </c>
      <c r="J426" s="39"/>
      <c r="K426" s="39"/>
      <c r="L426" s="39"/>
      <c r="M426" s="39"/>
      <c r="N426" s="40" t="str">
        <f aca="false">IF(AND(M426&lt;&gt;"",F426&lt;&gt;""),F426*M426,"")</f>
        <v/>
      </c>
    </row>
    <row r="427" customFormat="false" ht="15" hidden="false" customHeight="false" outlineLevel="0" collapsed="false">
      <c r="A427" s="41" t="str">
        <f aca="false">IF(B427="","",ROW()-3)</f>
        <v/>
      </c>
      <c r="B427" s="42"/>
      <c r="C427" s="43"/>
      <c r="G427" s="44"/>
      <c r="H427" s="43"/>
      <c r="I427" s="44" t="n">
        <f aca="false">IF(F427="",0,F427*G427)</f>
        <v>0</v>
      </c>
      <c r="N427" s="44" t="str">
        <f aca="false">IF(AND(M427&lt;&gt;"",F427&lt;&gt;""),F427*M427,"")</f>
        <v/>
      </c>
    </row>
    <row r="428" customFormat="false" ht="15" hidden="false" customHeight="false" outlineLevel="0" collapsed="false">
      <c r="A428" s="37" t="str">
        <f aca="false">IF(B428="","",ROW()-3)</f>
        <v/>
      </c>
      <c r="B428" s="38"/>
      <c r="C428" s="39"/>
      <c r="D428" s="39"/>
      <c r="E428" s="39"/>
      <c r="F428" s="39"/>
      <c r="G428" s="40"/>
      <c r="H428" s="39"/>
      <c r="I428" s="40" t="n">
        <f aca="false">IF(F428="",0,F428*G428)</f>
        <v>0</v>
      </c>
      <c r="J428" s="39"/>
      <c r="K428" s="39"/>
      <c r="L428" s="39"/>
      <c r="M428" s="39"/>
      <c r="N428" s="40" t="str">
        <f aca="false">IF(AND(M428&lt;&gt;"",F428&lt;&gt;""),F428*M428,"")</f>
        <v/>
      </c>
    </row>
    <row r="429" customFormat="false" ht="15" hidden="false" customHeight="false" outlineLevel="0" collapsed="false">
      <c r="A429" s="41" t="str">
        <f aca="false">IF(B429="","",ROW()-3)</f>
        <v/>
      </c>
      <c r="B429" s="42"/>
      <c r="C429" s="43"/>
      <c r="G429" s="44"/>
      <c r="H429" s="43"/>
      <c r="I429" s="44" t="n">
        <f aca="false">IF(F429="",0,F429*G429)</f>
        <v>0</v>
      </c>
      <c r="N429" s="44" t="str">
        <f aca="false">IF(AND(M429&lt;&gt;"",F429&lt;&gt;""),F429*M429,"")</f>
        <v/>
      </c>
    </row>
    <row r="430" customFormat="false" ht="15" hidden="false" customHeight="false" outlineLevel="0" collapsed="false">
      <c r="A430" s="37" t="str">
        <f aca="false">IF(B430="","",ROW()-3)</f>
        <v/>
      </c>
      <c r="B430" s="38"/>
      <c r="C430" s="39"/>
      <c r="D430" s="39"/>
      <c r="E430" s="39"/>
      <c r="F430" s="39"/>
      <c r="G430" s="40"/>
      <c r="H430" s="39"/>
      <c r="I430" s="40" t="n">
        <f aca="false">IF(F430="",0,F430*G430)</f>
        <v>0</v>
      </c>
      <c r="J430" s="39"/>
      <c r="K430" s="39"/>
      <c r="L430" s="39"/>
      <c r="M430" s="39"/>
      <c r="N430" s="40" t="str">
        <f aca="false">IF(AND(M430&lt;&gt;"",F430&lt;&gt;""),F430*M430,"")</f>
        <v/>
      </c>
    </row>
    <row r="431" customFormat="false" ht="15" hidden="false" customHeight="false" outlineLevel="0" collapsed="false">
      <c r="A431" s="41" t="str">
        <f aca="false">IF(B431="","",ROW()-3)</f>
        <v/>
      </c>
      <c r="B431" s="42"/>
      <c r="C431" s="43"/>
      <c r="G431" s="44"/>
      <c r="H431" s="43"/>
      <c r="I431" s="44" t="n">
        <f aca="false">IF(F431="",0,F431*G431)</f>
        <v>0</v>
      </c>
      <c r="N431" s="44" t="str">
        <f aca="false">IF(AND(M431&lt;&gt;"",F431&lt;&gt;""),F431*M431,"")</f>
        <v/>
      </c>
    </row>
    <row r="432" customFormat="false" ht="15" hidden="false" customHeight="false" outlineLevel="0" collapsed="false">
      <c r="A432" s="37" t="str">
        <f aca="false">IF(B432="","",ROW()-3)</f>
        <v/>
      </c>
      <c r="B432" s="38"/>
      <c r="C432" s="39"/>
      <c r="D432" s="39"/>
      <c r="E432" s="39"/>
      <c r="F432" s="39"/>
      <c r="G432" s="40"/>
      <c r="H432" s="39"/>
      <c r="I432" s="40" t="n">
        <f aca="false">IF(F432="",0,F432*G432)</f>
        <v>0</v>
      </c>
      <c r="J432" s="39"/>
      <c r="K432" s="39"/>
      <c r="L432" s="39"/>
      <c r="M432" s="39"/>
      <c r="N432" s="40" t="str">
        <f aca="false">IF(AND(M432&lt;&gt;"",F432&lt;&gt;""),F432*M432,"")</f>
        <v/>
      </c>
    </row>
    <row r="433" customFormat="false" ht="15" hidden="false" customHeight="false" outlineLevel="0" collapsed="false">
      <c r="A433" s="41" t="str">
        <f aca="false">IF(B433="","",ROW()-3)</f>
        <v/>
      </c>
      <c r="B433" s="42"/>
      <c r="C433" s="43"/>
      <c r="G433" s="44"/>
      <c r="H433" s="43"/>
      <c r="I433" s="44" t="n">
        <f aca="false">IF(F433="",0,F433*G433)</f>
        <v>0</v>
      </c>
      <c r="N433" s="44" t="str">
        <f aca="false">IF(AND(M433&lt;&gt;"",F433&lt;&gt;""),F433*M433,"")</f>
        <v/>
      </c>
    </row>
    <row r="434" customFormat="false" ht="15" hidden="false" customHeight="false" outlineLevel="0" collapsed="false">
      <c r="A434" s="37" t="str">
        <f aca="false">IF(B434="","",ROW()-3)</f>
        <v/>
      </c>
      <c r="B434" s="38"/>
      <c r="C434" s="39"/>
      <c r="D434" s="39"/>
      <c r="E434" s="39"/>
      <c r="F434" s="39"/>
      <c r="G434" s="40"/>
      <c r="H434" s="39"/>
      <c r="I434" s="40" t="n">
        <f aca="false">IF(F434="",0,F434*G434)</f>
        <v>0</v>
      </c>
      <c r="J434" s="39"/>
      <c r="K434" s="39"/>
      <c r="L434" s="39"/>
      <c r="M434" s="39"/>
      <c r="N434" s="40" t="str">
        <f aca="false">IF(AND(M434&lt;&gt;"",F434&lt;&gt;""),F434*M434,"")</f>
        <v/>
      </c>
    </row>
    <row r="435" customFormat="false" ht="15" hidden="false" customHeight="false" outlineLevel="0" collapsed="false">
      <c r="A435" s="41" t="str">
        <f aca="false">IF(B435="","",ROW()-3)</f>
        <v/>
      </c>
      <c r="B435" s="42"/>
      <c r="C435" s="43"/>
      <c r="G435" s="44"/>
      <c r="H435" s="43"/>
      <c r="I435" s="44" t="n">
        <f aca="false">IF(F435="",0,F435*G435)</f>
        <v>0</v>
      </c>
      <c r="N435" s="44" t="str">
        <f aca="false">IF(AND(M435&lt;&gt;"",F435&lt;&gt;""),F435*M435,"")</f>
        <v/>
      </c>
    </row>
    <row r="436" customFormat="false" ht="15" hidden="false" customHeight="false" outlineLevel="0" collapsed="false">
      <c r="A436" s="37" t="str">
        <f aca="false">IF(B436="","",ROW()-3)</f>
        <v/>
      </c>
      <c r="B436" s="38"/>
      <c r="C436" s="39"/>
      <c r="D436" s="39"/>
      <c r="E436" s="39"/>
      <c r="F436" s="39"/>
      <c r="G436" s="40"/>
      <c r="H436" s="39"/>
      <c r="I436" s="40" t="n">
        <f aca="false">IF(F436="",0,F436*G436)</f>
        <v>0</v>
      </c>
      <c r="J436" s="39"/>
      <c r="K436" s="39"/>
      <c r="L436" s="39"/>
      <c r="M436" s="39"/>
      <c r="N436" s="40" t="str">
        <f aca="false">IF(AND(M436&lt;&gt;"",F436&lt;&gt;""),F436*M436,"")</f>
        <v/>
      </c>
    </row>
    <row r="437" customFormat="false" ht="15" hidden="false" customHeight="false" outlineLevel="0" collapsed="false">
      <c r="A437" s="41" t="str">
        <f aca="false">IF(B437="","",ROW()-3)</f>
        <v/>
      </c>
      <c r="B437" s="42"/>
      <c r="C437" s="43"/>
      <c r="G437" s="44"/>
      <c r="H437" s="43"/>
      <c r="I437" s="44" t="n">
        <f aca="false">IF(F437="",0,F437*G437)</f>
        <v>0</v>
      </c>
      <c r="N437" s="44" t="str">
        <f aca="false">IF(AND(M437&lt;&gt;"",F437&lt;&gt;""),F437*M437,"")</f>
        <v/>
      </c>
    </row>
    <row r="438" customFormat="false" ht="15" hidden="false" customHeight="false" outlineLevel="0" collapsed="false">
      <c r="A438" s="37" t="str">
        <f aca="false">IF(B438="","",ROW()-3)</f>
        <v/>
      </c>
      <c r="B438" s="38"/>
      <c r="C438" s="39"/>
      <c r="D438" s="39"/>
      <c r="E438" s="39"/>
      <c r="F438" s="39"/>
      <c r="G438" s="40"/>
      <c r="H438" s="39"/>
      <c r="I438" s="40" t="n">
        <f aca="false">IF(F438="",0,F438*G438)</f>
        <v>0</v>
      </c>
      <c r="J438" s="39"/>
      <c r="K438" s="39"/>
      <c r="L438" s="39"/>
      <c r="M438" s="39"/>
      <c r="N438" s="40" t="str">
        <f aca="false">IF(AND(M438&lt;&gt;"",F438&lt;&gt;""),F438*M438,"")</f>
        <v/>
      </c>
    </row>
    <row r="439" customFormat="false" ht="15" hidden="false" customHeight="false" outlineLevel="0" collapsed="false">
      <c r="A439" s="41" t="str">
        <f aca="false">IF(B439="","",ROW()-3)</f>
        <v/>
      </c>
      <c r="B439" s="42"/>
      <c r="C439" s="43"/>
      <c r="G439" s="44"/>
      <c r="H439" s="43"/>
      <c r="I439" s="44" t="n">
        <f aca="false">IF(F439="",0,F439*G439)</f>
        <v>0</v>
      </c>
      <c r="N439" s="44" t="str">
        <f aca="false">IF(AND(M439&lt;&gt;"",F439&lt;&gt;""),F439*M439,"")</f>
        <v/>
      </c>
    </row>
    <row r="440" customFormat="false" ht="15" hidden="false" customHeight="false" outlineLevel="0" collapsed="false">
      <c r="A440" s="37" t="str">
        <f aca="false">IF(B440="","",ROW()-3)</f>
        <v/>
      </c>
      <c r="B440" s="38"/>
      <c r="C440" s="39"/>
      <c r="D440" s="39"/>
      <c r="E440" s="39"/>
      <c r="F440" s="39"/>
      <c r="G440" s="40"/>
      <c r="H440" s="39"/>
      <c r="I440" s="40" t="n">
        <f aca="false">IF(F440="",0,F440*G440)</f>
        <v>0</v>
      </c>
      <c r="J440" s="39"/>
      <c r="K440" s="39"/>
      <c r="L440" s="39"/>
      <c r="M440" s="39"/>
      <c r="N440" s="40" t="str">
        <f aca="false">IF(AND(M440&lt;&gt;"",F440&lt;&gt;""),F440*M440,"")</f>
        <v/>
      </c>
    </row>
    <row r="441" customFormat="false" ht="15" hidden="false" customHeight="false" outlineLevel="0" collapsed="false">
      <c r="A441" s="41" t="str">
        <f aca="false">IF(B441="","",ROW()-3)</f>
        <v/>
      </c>
      <c r="B441" s="42"/>
      <c r="C441" s="43"/>
      <c r="G441" s="44"/>
      <c r="H441" s="43"/>
      <c r="I441" s="44" t="n">
        <f aca="false">IF(F441="",0,F441*G441)</f>
        <v>0</v>
      </c>
      <c r="N441" s="44" t="str">
        <f aca="false">IF(AND(M441&lt;&gt;"",F441&lt;&gt;""),F441*M441,"")</f>
        <v/>
      </c>
    </row>
    <row r="442" customFormat="false" ht="15" hidden="false" customHeight="false" outlineLevel="0" collapsed="false">
      <c r="A442" s="37" t="str">
        <f aca="false">IF(B442="","",ROW()-3)</f>
        <v/>
      </c>
      <c r="B442" s="38"/>
      <c r="C442" s="39"/>
      <c r="D442" s="39"/>
      <c r="E442" s="39"/>
      <c r="F442" s="39"/>
      <c r="G442" s="40"/>
      <c r="H442" s="39"/>
      <c r="I442" s="40" t="n">
        <f aca="false">IF(F442="",0,F442*G442)</f>
        <v>0</v>
      </c>
      <c r="J442" s="39"/>
      <c r="K442" s="39"/>
      <c r="L442" s="39"/>
      <c r="M442" s="39"/>
      <c r="N442" s="40" t="str">
        <f aca="false">IF(AND(M442&lt;&gt;"",F442&lt;&gt;""),F442*M442,"")</f>
        <v/>
      </c>
    </row>
    <row r="443" customFormat="false" ht="15" hidden="false" customHeight="false" outlineLevel="0" collapsed="false">
      <c r="A443" s="41" t="str">
        <f aca="false">IF(B443="","",ROW()-3)</f>
        <v/>
      </c>
      <c r="B443" s="42"/>
      <c r="C443" s="43"/>
      <c r="G443" s="44"/>
      <c r="H443" s="43"/>
      <c r="I443" s="44" t="n">
        <f aca="false">IF(F443="",0,F443*G443)</f>
        <v>0</v>
      </c>
      <c r="N443" s="44" t="str">
        <f aca="false">IF(AND(M443&lt;&gt;"",F443&lt;&gt;""),F443*M443,"")</f>
        <v/>
      </c>
    </row>
    <row r="444" customFormat="false" ht="15" hidden="false" customHeight="false" outlineLevel="0" collapsed="false">
      <c r="A444" s="37" t="str">
        <f aca="false">IF(B444="","",ROW()-3)</f>
        <v/>
      </c>
      <c r="B444" s="38"/>
      <c r="C444" s="39"/>
      <c r="D444" s="39"/>
      <c r="E444" s="39"/>
      <c r="F444" s="39"/>
      <c r="G444" s="40"/>
      <c r="H444" s="39"/>
      <c r="I444" s="40" t="n">
        <f aca="false">IF(F444="",0,F444*G444)</f>
        <v>0</v>
      </c>
      <c r="J444" s="39"/>
      <c r="K444" s="39"/>
      <c r="L444" s="39"/>
      <c r="M444" s="39"/>
      <c r="N444" s="40" t="str">
        <f aca="false">IF(AND(M444&lt;&gt;"",F444&lt;&gt;""),F444*M444,"")</f>
        <v/>
      </c>
    </row>
    <row r="445" customFormat="false" ht="15" hidden="false" customHeight="false" outlineLevel="0" collapsed="false">
      <c r="A445" s="41" t="str">
        <f aca="false">IF(B445="","",ROW()-3)</f>
        <v/>
      </c>
      <c r="B445" s="42"/>
      <c r="C445" s="43"/>
      <c r="G445" s="44"/>
      <c r="H445" s="43"/>
      <c r="I445" s="44" t="n">
        <f aca="false">IF(F445="",0,F445*G445)</f>
        <v>0</v>
      </c>
      <c r="N445" s="44" t="str">
        <f aca="false">IF(AND(M445&lt;&gt;"",F445&lt;&gt;""),F445*M445,"")</f>
        <v/>
      </c>
    </row>
    <row r="446" customFormat="false" ht="15" hidden="false" customHeight="false" outlineLevel="0" collapsed="false">
      <c r="A446" s="37" t="str">
        <f aca="false">IF(B446="","",ROW()-3)</f>
        <v/>
      </c>
      <c r="B446" s="38"/>
      <c r="C446" s="39"/>
      <c r="D446" s="39"/>
      <c r="E446" s="39"/>
      <c r="F446" s="39"/>
      <c r="G446" s="40"/>
      <c r="H446" s="39"/>
      <c r="I446" s="40" t="n">
        <f aca="false">IF(F446="",0,F446*G446)</f>
        <v>0</v>
      </c>
      <c r="J446" s="39"/>
      <c r="K446" s="39"/>
      <c r="L446" s="39"/>
      <c r="M446" s="39"/>
      <c r="N446" s="40" t="str">
        <f aca="false">IF(AND(M446&lt;&gt;"",F446&lt;&gt;""),F446*M446,"")</f>
        <v/>
      </c>
    </row>
    <row r="447" customFormat="false" ht="15" hidden="false" customHeight="false" outlineLevel="0" collapsed="false">
      <c r="A447" s="41" t="str">
        <f aca="false">IF(B447="","",ROW()-3)</f>
        <v/>
      </c>
      <c r="B447" s="42"/>
      <c r="C447" s="43"/>
      <c r="G447" s="44"/>
      <c r="H447" s="43"/>
      <c r="I447" s="44" t="n">
        <f aca="false">IF(F447="",0,F447*G447)</f>
        <v>0</v>
      </c>
      <c r="N447" s="44" t="str">
        <f aca="false">IF(AND(M447&lt;&gt;"",F447&lt;&gt;""),F447*M447,"")</f>
        <v/>
      </c>
    </row>
    <row r="448" customFormat="false" ht="15" hidden="false" customHeight="false" outlineLevel="0" collapsed="false">
      <c r="A448" s="37" t="str">
        <f aca="false">IF(B448="","",ROW()-3)</f>
        <v/>
      </c>
      <c r="B448" s="38"/>
      <c r="C448" s="39"/>
      <c r="D448" s="39"/>
      <c r="E448" s="39"/>
      <c r="F448" s="39"/>
      <c r="G448" s="40"/>
      <c r="H448" s="39"/>
      <c r="I448" s="40" t="n">
        <f aca="false">IF(F448="",0,F448*G448)</f>
        <v>0</v>
      </c>
      <c r="J448" s="39"/>
      <c r="K448" s="39"/>
      <c r="L448" s="39"/>
      <c r="M448" s="39"/>
      <c r="N448" s="40" t="str">
        <f aca="false">IF(AND(M448&lt;&gt;"",F448&lt;&gt;""),F448*M448,"")</f>
        <v/>
      </c>
    </row>
    <row r="449" customFormat="false" ht="15" hidden="false" customHeight="false" outlineLevel="0" collapsed="false">
      <c r="A449" s="41" t="str">
        <f aca="false">IF(B449="","",ROW()-3)</f>
        <v/>
      </c>
      <c r="B449" s="42"/>
      <c r="C449" s="43"/>
      <c r="G449" s="44"/>
      <c r="H449" s="43"/>
      <c r="I449" s="44" t="n">
        <f aca="false">IF(F449="",0,F449*G449)</f>
        <v>0</v>
      </c>
      <c r="N449" s="44" t="str">
        <f aca="false">IF(AND(M449&lt;&gt;"",F449&lt;&gt;""),F449*M449,"")</f>
        <v/>
      </c>
    </row>
    <row r="450" customFormat="false" ht="15" hidden="false" customHeight="false" outlineLevel="0" collapsed="false">
      <c r="A450" s="37" t="str">
        <f aca="false">IF(B450="","",ROW()-3)</f>
        <v/>
      </c>
      <c r="B450" s="38"/>
      <c r="C450" s="39"/>
      <c r="D450" s="39"/>
      <c r="E450" s="39"/>
      <c r="F450" s="39"/>
      <c r="G450" s="40"/>
      <c r="H450" s="39"/>
      <c r="I450" s="40" t="n">
        <f aca="false">IF(F450="",0,F450*G450)</f>
        <v>0</v>
      </c>
      <c r="J450" s="39"/>
      <c r="K450" s="39"/>
      <c r="L450" s="39"/>
      <c r="M450" s="39"/>
      <c r="N450" s="40" t="str">
        <f aca="false">IF(AND(M450&lt;&gt;"",F450&lt;&gt;""),F450*M450,"")</f>
        <v/>
      </c>
    </row>
    <row r="451" customFormat="false" ht="15" hidden="false" customHeight="false" outlineLevel="0" collapsed="false">
      <c r="A451" s="41" t="str">
        <f aca="false">IF(B451="","",ROW()-3)</f>
        <v/>
      </c>
      <c r="B451" s="42"/>
      <c r="C451" s="43"/>
      <c r="G451" s="44"/>
      <c r="H451" s="43"/>
      <c r="I451" s="44" t="n">
        <f aca="false">IF(F451="",0,F451*G451)</f>
        <v>0</v>
      </c>
      <c r="N451" s="44" t="str">
        <f aca="false">IF(AND(M451&lt;&gt;"",F451&lt;&gt;""),F451*M451,"")</f>
        <v/>
      </c>
    </row>
    <row r="452" customFormat="false" ht="15" hidden="false" customHeight="false" outlineLevel="0" collapsed="false">
      <c r="A452" s="37" t="str">
        <f aca="false">IF(B452="","",ROW()-3)</f>
        <v/>
      </c>
      <c r="B452" s="38"/>
      <c r="C452" s="39"/>
      <c r="D452" s="39"/>
      <c r="E452" s="39"/>
      <c r="F452" s="39"/>
      <c r="G452" s="40"/>
      <c r="H452" s="39"/>
      <c r="I452" s="40" t="n">
        <f aca="false">IF(F452="",0,F452*G452)</f>
        <v>0</v>
      </c>
      <c r="J452" s="39"/>
      <c r="K452" s="39"/>
      <c r="L452" s="39"/>
      <c r="M452" s="39"/>
      <c r="N452" s="40" t="str">
        <f aca="false">IF(AND(M452&lt;&gt;"",F452&lt;&gt;""),F452*M452,"")</f>
        <v/>
      </c>
    </row>
    <row r="453" customFormat="false" ht="15" hidden="false" customHeight="false" outlineLevel="0" collapsed="false">
      <c r="A453" s="41" t="str">
        <f aca="false">IF(B453="","",ROW()-3)</f>
        <v/>
      </c>
      <c r="B453" s="42"/>
      <c r="C453" s="43"/>
      <c r="G453" s="44"/>
      <c r="H453" s="43"/>
      <c r="I453" s="44" t="n">
        <f aca="false">IF(F453="",0,F453*G453)</f>
        <v>0</v>
      </c>
      <c r="N453" s="44" t="str">
        <f aca="false">IF(AND(M453&lt;&gt;"",F453&lt;&gt;""),F453*M453,"")</f>
        <v/>
      </c>
    </row>
    <row r="454" customFormat="false" ht="15" hidden="false" customHeight="false" outlineLevel="0" collapsed="false">
      <c r="A454" s="37" t="str">
        <f aca="false">IF(B454="","",ROW()-3)</f>
        <v/>
      </c>
      <c r="B454" s="38"/>
      <c r="C454" s="39"/>
      <c r="D454" s="39"/>
      <c r="E454" s="39"/>
      <c r="F454" s="39"/>
      <c r="G454" s="40"/>
      <c r="H454" s="39"/>
      <c r="I454" s="40" t="n">
        <f aca="false">IF(F454="",0,F454*G454)</f>
        <v>0</v>
      </c>
      <c r="J454" s="39"/>
      <c r="K454" s="39"/>
      <c r="L454" s="39"/>
      <c r="M454" s="39"/>
      <c r="N454" s="40" t="str">
        <f aca="false">IF(AND(M454&lt;&gt;"",F454&lt;&gt;""),F454*M454,"")</f>
        <v/>
      </c>
    </row>
    <row r="455" customFormat="false" ht="15" hidden="false" customHeight="false" outlineLevel="0" collapsed="false">
      <c r="A455" s="41" t="str">
        <f aca="false">IF(B455="","",ROW()-3)</f>
        <v/>
      </c>
      <c r="B455" s="42"/>
      <c r="C455" s="43"/>
      <c r="G455" s="44"/>
      <c r="H455" s="43"/>
      <c r="I455" s="44" t="n">
        <f aca="false">IF(F455="",0,F455*G455)</f>
        <v>0</v>
      </c>
      <c r="N455" s="44" t="str">
        <f aca="false">IF(AND(M455&lt;&gt;"",F455&lt;&gt;""),F455*M455,"")</f>
        <v/>
      </c>
    </row>
    <row r="456" customFormat="false" ht="15" hidden="false" customHeight="false" outlineLevel="0" collapsed="false">
      <c r="A456" s="37" t="str">
        <f aca="false">IF(B456="","",ROW()-3)</f>
        <v/>
      </c>
      <c r="B456" s="38"/>
      <c r="C456" s="39"/>
      <c r="D456" s="39"/>
      <c r="E456" s="39"/>
      <c r="F456" s="39"/>
      <c r="G456" s="40"/>
      <c r="H456" s="39"/>
      <c r="I456" s="40" t="n">
        <f aca="false">IF(F456="",0,F456*G456)</f>
        <v>0</v>
      </c>
      <c r="J456" s="39"/>
      <c r="K456" s="39"/>
      <c r="L456" s="39"/>
      <c r="M456" s="39"/>
      <c r="N456" s="40" t="str">
        <f aca="false">IF(AND(M456&lt;&gt;"",F456&lt;&gt;""),F456*M456,"")</f>
        <v/>
      </c>
    </row>
    <row r="457" customFormat="false" ht="15" hidden="false" customHeight="false" outlineLevel="0" collapsed="false">
      <c r="A457" s="41" t="str">
        <f aca="false">IF(B457="","",ROW()-3)</f>
        <v/>
      </c>
      <c r="B457" s="42"/>
      <c r="C457" s="43"/>
      <c r="G457" s="44"/>
      <c r="H457" s="43"/>
      <c r="I457" s="44" t="n">
        <f aca="false">IF(F457="",0,F457*G457)</f>
        <v>0</v>
      </c>
      <c r="N457" s="44" t="str">
        <f aca="false">IF(AND(M457&lt;&gt;"",F457&lt;&gt;""),F457*M457,"")</f>
        <v/>
      </c>
    </row>
    <row r="458" customFormat="false" ht="15" hidden="false" customHeight="false" outlineLevel="0" collapsed="false">
      <c r="A458" s="37" t="str">
        <f aca="false">IF(B458="","",ROW()-3)</f>
        <v/>
      </c>
      <c r="B458" s="38"/>
      <c r="C458" s="39"/>
      <c r="D458" s="39"/>
      <c r="E458" s="39"/>
      <c r="F458" s="39"/>
      <c r="G458" s="40"/>
      <c r="H458" s="39"/>
      <c r="I458" s="40" t="n">
        <f aca="false">IF(F458="",0,F458*G458)</f>
        <v>0</v>
      </c>
      <c r="J458" s="39"/>
      <c r="K458" s="39"/>
      <c r="L458" s="39"/>
      <c r="M458" s="39"/>
      <c r="N458" s="40" t="str">
        <f aca="false">IF(AND(M458&lt;&gt;"",F458&lt;&gt;""),F458*M458,"")</f>
        <v/>
      </c>
    </row>
    <row r="459" customFormat="false" ht="15" hidden="false" customHeight="false" outlineLevel="0" collapsed="false">
      <c r="A459" s="41" t="str">
        <f aca="false">IF(B459="","",ROW()-3)</f>
        <v/>
      </c>
      <c r="B459" s="42"/>
      <c r="C459" s="43"/>
      <c r="G459" s="44"/>
      <c r="H459" s="43"/>
      <c r="I459" s="44" t="n">
        <f aca="false">IF(F459="",0,F459*G459)</f>
        <v>0</v>
      </c>
      <c r="N459" s="44" t="str">
        <f aca="false">IF(AND(M459&lt;&gt;"",F459&lt;&gt;""),F459*M459,"")</f>
        <v/>
      </c>
    </row>
    <row r="460" customFormat="false" ht="15" hidden="false" customHeight="false" outlineLevel="0" collapsed="false">
      <c r="A460" s="37" t="str">
        <f aca="false">IF(B460="","",ROW()-3)</f>
        <v/>
      </c>
      <c r="B460" s="38"/>
      <c r="C460" s="39"/>
      <c r="D460" s="39"/>
      <c r="E460" s="39"/>
      <c r="F460" s="39"/>
      <c r="G460" s="40"/>
      <c r="H460" s="39"/>
      <c r="I460" s="40" t="n">
        <f aca="false">IF(F460="",0,F460*G460)</f>
        <v>0</v>
      </c>
      <c r="J460" s="39"/>
      <c r="K460" s="39"/>
      <c r="L460" s="39"/>
      <c r="M460" s="39"/>
      <c r="N460" s="40" t="str">
        <f aca="false">IF(AND(M460&lt;&gt;"",F460&lt;&gt;""),F460*M460,"")</f>
        <v/>
      </c>
    </row>
    <row r="461" customFormat="false" ht="15" hidden="false" customHeight="false" outlineLevel="0" collapsed="false">
      <c r="A461" s="41" t="str">
        <f aca="false">IF(B461="","",ROW()-3)</f>
        <v/>
      </c>
      <c r="B461" s="42"/>
      <c r="C461" s="43"/>
      <c r="G461" s="44"/>
      <c r="H461" s="43"/>
      <c r="I461" s="44" t="n">
        <f aca="false">IF(F461="",0,F461*G461)</f>
        <v>0</v>
      </c>
      <c r="N461" s="44" t="str">
        <f aca="false">IF(AND(M461&lt;&gt;"",F461&lt;&gt;""),F461*M461,"")</f>
        <v/>
      </c>
    </row>
    <row r="462" customFormat="false" ht="15" hidden="false" customHeight="false" outlineLevel="0" collapsed="false">
      <c r="A462" s="37" t="str">
        <f aca="false">IF(B462="","",ROW()-3)</f>
        <v/>
      </c>
      <c r="B462" s="38"/>
      <c r="C462" s="39"/>
      <c r="D462" s="39"/>
      <c r="E462" s="39"/>
      <c r="F462" s="39"/>
      <c r="G462" s="40"/>
      <c r="H462" s="39"/>
      <c r="I462" s="40" t="n">
        <f aca="false">IF(F462="",0,F462*G462)</f>
        <v>0</v>
      </c>
      <c r="J462" s="39"/>
      <c r="K462" s="39"/>
      <c r="L462" s="39"/>
      <c r="M462" s="39"/>
      <c r="N462" s="40" t="str">
        <f aca="false">IF(AND(M462&lt;&gt;"",F462&lt;&gt;""),F462*M462,"")</f>
        <v/>
      </c>
    </row>
    <row r="463" customFormat="false" ht="15" hidden="false" customHeight="false" outlineLevel="0" collapsed="false">
      <c r="A463" s="41" t="str">
        <f aca="false">IF(B463="","",ROW()-3)</f>
        <v/>
      </c>
      <c r="B463" s="42"/>
      <c r="C463" s="43"/>
      <c r="G463" s="44"/>
      <c r="H463" s="43"/>
      <c r="I463" s="44" t="n">
        <f aca="false">IF(F463="",0,F463*G463)</f>
        <v>0</v>
      </c>
      <c r="N463" s="44" t="str">
        <f aca="false">IF(AND(M463&lt;&gt;"",F463&lt;&gt;""),F463*M463,"")</f>
        <v/>
      </c>
    </row>
    <row r="464" customFormat="false" ht="15" hidden="false" customHeight="false" outlineLevel="0" collapsed="false">
      <c r="A464" s="37" t="str">
        <f aca="false">IF(B464="","",ROW()-3)</f>
        <v/>
      </c>
      <c r="B464" s="38"/>
      <c r="C464" s="39"/>
      <c r="D464" s="39"/>
      <c r="E464" s="39"/>
      <c r="F464" s="39"/>
      <c r="G464" s="40"/>
      <c r="H464" s="39"/>
      <c r="I464" s="40" t="n">
        <f aca="false">IF(F464="",0,F464*G464)</f>
        <v>0</v>
      </c>
      <c r="J464" s="39"/>
      <c r="K464" s="39"/>
      <c r="L464" s="39"/>
      <c r="M464" s="39"/>
      <c r="N464" s="40" t="str">
        <f aca="false">IF(AND(M464&lt;&gt;"",F464&lt;&gt;""),F464*M464,"")</f>
        <v/>
      </c>
    </row>
    <row r="465" customFormat="false" ht="15" hidden="false" customHeight="false" outlineLevel="0" collapsed="false">
      <c r="A465" s="41" t="str">
        <f aca="false">IF(B465="","",ROW()-3)</f>
        <v/>
      </c>
      <c r="B465" s="42"/>
      <c r="C465" s="43"/>
      <c r="G465" s="44"/>
      <c r="H465" s="43"/>
      <c r="I465" s="44" t="n">
        <f aca="false">IF(F465="",0,F465*G465)</f>
        <v>0</v>
      </c>
      <c r="N465" s="44" t="str">
        <f aca="false">IF(AND(M465&lt;&gt;"",F465&lt;&gt;""),F465*M465,"")</f>
        <v/>
      </c>
    </row>
    <row r="466" customFormat="false" ht="15" hidden="false" customHeight="false" outlineLevel="0" collapsed="false">
      <c r="A466" s="37" t="str">
        <f aca="false">IF(B466="","",ROW()-3)</f>
        <v/>
      </c>
      <c r="B466" s="38"/>
      <c r="C466" s="39"/>
      <c r="D466" s="39"/>
      <c r="E466" s="39"/>
      <c r="F466" s="39"/>
      <c r="G466" s="40"/>
      <c r="H466" s="39"/>
      <c r="I466" s="40" t="n">
        <f aca="false">IF(F466="",0,F466*G466)</f>
        <v>0</v>
      </c>
      <c r="J466" s="39"/>
      <c r="K466" s="39"/>
      <c r="L466" s="39"/>
      <c r="M466" s="39"/>
      <c r="N466" s="40" t="str">
        <f aca="false">IF(AND(M466&lt;&gt;"",F466&lt;&gt;""),F466*M466,"")</f>
        <v/>
      </c>
    </row>
    <row r="467" customFormat="false" ht="15" hidden="false" customHeight="false" outlineLevel="0" collapsed="false">
      <c r="A467" s="41" t="str">
        <f aca="false">IF(B467="","",ROW()-3)</f>
        <v/>
      </c>
      <c r="B467" s="42"/>
      <c r="C467" s="43"/>
      <c r="G467" s="44"/>
      <c r="H467" s="43"/>
      <c r="I467" s="44" t="n">
        <f aca="false">IF(F467="",0,F467*G467)</f>
        <v>0</v>
      </c>
      <c r="N467" s="44" t="str">
        <f aca="false">IF(AND(M467&lt;&gt;"",F467&lt;&gt;""),F467*M467,"")</f>
        <v/>
      </c>
    </row>
    <row r="468" customFormat="false" ht="15" hidden="false" customHeight="false" outlineLevel="0" collapsed="false">
      <c r="A468" s="37" t="str">
        <f aca="false">IF(B468="","",ROW()-3)</f>
        <v/>
      </c>
      <c r="B468" s="38"/>
      <c r="C468" s="39"/>
      <c r="D468" s="39"/>
      <c r="E468" s="39"/>
      <c r="F468" s="39"/>
      <c r="G468" s="40"/>
      <c r="H468" s="39"/>
      <c r="I468" s="40" t="n">
        <f aca="false">IF(F468="",0,F468*G468)</f>
        <v>0</v>
      </c>
      <c r="J468" s="39"/>
      <c r="K468" s="39"/>
      <c r="L468" s="39"/>
      <c r="M468" s="39"/>
      <c r="N468" s="40" t="str">
        <f aca="false">IF(AND(M468&lt;&gt;"",F468&lt;&gt;""),F468*M468,"")</f>
        <v/>
      </c>
    </row>
    <row r="469" customFormat="false" ht="15" hidden="false" customHeight="false" outlineLevel="0" collapsed="false">
      <c r="A469" s="41" t="str">
        <f aca="false">IF(B469="","",ROW()-3)</f>
        <v/>
      </c>
      <c r="B469" s="42"/>
      <c r="C469" s="43"/>
      <c r="G469" s="44"/>
      <c r="H469" s="43"/>
      <c r="I469" s="44" t="n">
        <f aca="false">IF(F469="",0,F469*G469)</f>
        <v>0</v>
      </c>
      <c r="N469" s="44" t="str">
        <f aca="false">IF(AND(M469&lt;&gt;"",F469&lt;&gt;""),F469*M469,"")</f>
        <v/>
      </c>
    </row>
    <row r="470" customFormat="false" ht="15" hidden="false" customHeight="false" outlineLevel="0" collapsed="false">
      <c r="A470" s="37" t="str">
        <f aca="false">IF(B470="","",ROW()-3)</f>
        <v/>
      </c>
      <c r="B470" s="38"/>
      <c r="C470" s="39"/>
      <c r="D470" s="39"/>
      <c r="E470" s="39"/>
      <c r="F470" s="39"/>
      <c r="G470" s="40"/>
      <c r="H470" s="39"/>
      <c r="I470" s="40" t="n">
        <f aca="false">IF(F470="",0,F470*G470)</f>
        <v>0</v>
      </c>
      <c r="J470" s="39"/>
      <c r="K470" s="39"/>
      <c r="L470" s="39"/>
      <c r="M470" s="39"/>
      <c r="N470" s="40" t="str">
        <f aca="false">IF(AND(M470&lt;&gt;"",F470&lt;&gt;""),F470*M470,"")</f>
        <v/>
      </c>
    </row>
    <row r="471" customFormat="false" ht="15" hidden="false" customHeight="false" outlineLevel="0" collapsed="false">
      <c r="A471" s="41" t="str">
        <f aca="false">IF(B471="","",ROW()-3)</f>
        <v/>
      </c>
      <c r="B471" s="42"/>
      <c r="C471" s="43"/>
      <c r="G471" s="44"/>
      <c r="H471" s="43"/>
      <c r="I471" s="44" t="n">
        <f aca="false">IF(F471="",0,F471*G471)</f>
        <v>0</v>
      </c>
      <c r="N471" s="44" t="str">
        <f aca="false">IF(AND(M471&lt;&gt;"",F471&lt;&gt;""),F471*M471,"")</f>
        <v/>
      </c>
    </row>
    <row r="472" customFormat="false" ht="15" hidden="false" customHeight="false" outlineLevel="0" collapsed="false">
      <c r="A472" s="37" t="str">
        <f aca="false">IF(B472="","",ROW()-3)</f>
        <v/>
      </c>
      <c r="B472" s="38"/>
      <c r="C472" s="39"/>
      <c r="D472" s="39"/>
      <c r="E472" s="39"/>
      <c r="F472" s="39"/>
      <c r="G472" s="40"/>
      <c r="H472" s="39"/>
      <c r="I472" s="40" t="n">
        <f aca="false">IF(F472="",0,F472*G472)</f>
        <v>0</v>
      </c>
      <c r="J472" s="39"/>
      <c r="K472" s="39"/>
      <c r="L472" s="39"/>
      <c r="M472" s="39"/>
      <c r="N472" s="40" t="str">
        <f aca="false">IF(AND(M472&lt;&gt;"",F472&lt;&gt;""),F472*M472,"")</f>
        <v/>
      </c>
    </row>
    <row r="473" customFormat="false" ht="15" hidden="false" customHeight="false" outlineLevel="0" collapsed="false">
      <c r="A473" s="41" t="str">
        <f aca="false">IF(B473="","",ROW()-3)</f>
        <v/>
      </c>
      <c r="B473" s="42"/>
      <c r="C473" s="43"/>
      <c r="G473" s="44"/>
      <c r="H473" s="43"/>
      <c r="I473" s="44" t="n">
        <f aca="false">IF(F473="",0,F473*G473)</f>
        <v>0</v>
      </c>
      <c r="N473" s="44" t="str">
        <f aca="false">IF(AND(M473&lt;&gt;"",F473&lt;&gt;""),F473*M473,"")</f>
        <v/>
      </c>
    </row>
    <row r="474" customFormat="false" ht="15" hidden="false" customHeight="false" outlineLevel="0" collapsed="false">
      <c r="A474" s="37" t="str">
        <f aca="false">IF(B474="","",ROW()-3)</f>
        <v/>
      </c>
      <c r="B474" s="38"/>
      <c r="C474" s="39"/>
      <c r="D474" s="39"/>
      <c r="E474" s="39"/>
      <c r="F474" s="39"/>
      <c r="G474" s="40"/>
      <c r="H474" s="39"/>
      <c r="I474" s="40" t="n">
        <f aca="false">IF(F474="",0,F474*G474)</f>
        <v>0</v>
      </c>
      <c r="J474" s="39"/>
      <c r="K474" s="39"/>
      <c r="L474" s="39"/>
      <c r="M474" s="39"/>
      <c r="N474" s="40" t="str">
        <f aca="false">IF(AND(M474&lt;&gt;"",F474&lt;&gt;""),F474*M474,"")</f>
        <v/>
      </c>
    </row>
    <row r="475" customFormat="false" ht="15" hidden="false" customHeight="false" outlineLevel="0" collapsed="false">
      <c r="A475" s="41" t="str">
        <f aca="false">IF(B475="","",ROW()-3)</f>
        <v/>
      </c>
      <c r="B475" s="42"/>
      <c r="C475" s="43"/>
      <c r="G475" s="44"/>
      <c r="H475" s="43"/>
      <c r="I475" s="44" t="n">
        <f aca="false">IF(F475="",0,F475*G475)</f>
        <v>0</v>
      </c>
      <c r="N475" s="44" t="str">
        <f aca="false">IF(AND(M475&lt;&gt;"",F475&lt;&gt;""),F475*M475,"")</f>
        <v/>
      </c>
    </row>
    <row r="476" customFormat="false" ht="15" hidden="false" customHeight="false" outlineLevel="0" collapsed="false">
      <c r="A476" s="37" t="str">
        <f aca="false">IF(B476="","",ROW()-3)</f>
        <v/>
      </c>
      <c r="B476" s="38"/>
      <c r="C476" s="39"/>
      <c r="D476" s="39"/>
      <c r="E476" s="39"/>
      <c r="F476" s="39"/>
      <c r="G476" s="40"/>
      <c r="H476" s="39"/>
      <c r="I476" s="40" t="n">
        <f aca="false">IF(F476="",0,F476*G476)</f>
        <v>0</v>
      </c>
      <c r="J476" s="39"/>
      <c r="K476" s="39"/>
      <c r="L476" s="39"/>
      <c r="M476" s="39"/>
      <c r="N476" s="40" t="str">
        <f aca="false">IF(AND(M476&lt;&gt;"",F476&lt;&gt;""),F476*M476,"")</f>
        <v/>
      </c>
    </row>
    <row r="477" customFormat="false" ht="15" hidden="false" customHeight="false" outlineLevel="0" collapsed="false">
      <c r="A477" s="41" t="str">
        <f aca="false">IF(B477="","",ROW()-3)</f>
        <v/>
      </c>
      <c r="B477" s="42"/>
      <c r="C477" s="43"/>
      <c r="G477" s="44"/>
      <c r="H477" s="43"/>
      <c r="I477" s="44" t="n">
        <f aca="false">IF(F477="",0,F477*G477)</f>
        <v>0</v>
      </c>
      <c r="N477" s="44" t="str">
        <f aca="false">IF(AND(M477&lt;&gt;"",F477&lt;&gt;""),F477*M477,"")</f>
        <v/>
      </c>
    </row>
    <row r="478" customFormat="false" ht="15" hidden="false" customHeight="false" outlineLevel="0" collapsed="false">
      <c r="A478" s="37" t="str">
        <f aca="false">IF(B478="","",ROW()-3)</f>
        <v/>
      </c>
      <c r="B478" s="38"/>
      <c r="C478" s="39"/>
      <c r="D478" s="39"/>
      <c r="E478" s="39"/>
      <c r="F478" s="39"/>
      <c r="G478" s="40"/>
      <c r="H478" s="39"/>
      <c r="I478" s="40" t="n">
        <f aca="false">IF(F478="",0,F478*G478)</f>
        <v>0</v>
      </c>
      <c r="J478" s="39"/>
      <c r="K478" s="39"/>
      <c r="L478" s="39"/>
      <c r="M478" s="39"/>
      <c r="N478" s="40" t="str">
        <f aca="false">IF(AND(M478&lt;&gt;"",F478&lt;&gt;""),F478*M478,"")</f>
        <v/>
      </c>
    </row>
    <row r="479" customFormat="false" ht="15" hidden="false" customHeight="false" outlineLevel="0" collapsed="false">
      <c r="A479" s="41" t="str">
        <f aca="false">IF(B479="","",ROW()-3)</f>
        <v/>
      </c>
      <c r="B479" s="42"/>
      <c r="C479" s="43"/>
      <c r="G479" s="44"/>
      <c r="H479" s="43"/>
      <c r="I479" s="44" t="n">
        <f aca="false">IF(F479="",0,F479*G479)</f>
        <v>0</v>
      </c>
      <c r="N479" s="44" t="str">
        <f aca="false">IF(AND(M479&lt;&gt;"",F479&lt;&gt;""),F479*M479,"")</f>
        <v/>
      </c>
    </row>
    <row r="480" customFormat="false" ht="15" hidden="false" customHeight="false" outlineLevel="0" collapsed="false">
      <c r="A480" s="37" t="str">
        <f aca="false">IF(B480="","",ROW()-3)</f>
        <v/>
      </c>
      <c r="B480" s="38"/>
      <c r="C480" s="39"/>
      <c r="D480" s="39"/>
      <c r="E480" s="39"/>
      <c r="F480" s="39"/>
      <c r="G480" s="40"/>
      <c r="H480" s="39"/>
      <c r="I480" s="40" t="n">
        <f aca="false">IF(F480="",0,F480*G480)</f>
        <v>0</v>
      </c>
      <c r="J480" s="39"/>
      <c r="K480" s="39"/>
      <c r="L480" s="39"/>
      <c r="M480" s="39"/>
      <c r="N480" s="40" t="str">
        <f aca="false">IF(AND(M480&lt;&gt;"",F480&lt;&gt;""),F480*M480,"")</f>
        <v/>
      </c>
    </row>
    <row r="481" customFormat="false" ht="15" hidden="false" customHeight="false" outlineLevel="0" collapsed="false">
      <c r="A481" s="41" t="str">
        <f aca="false">IF(B481="","",ROW()-3)</f>
        <v/>
      </c>
      <c r="B481" s="42"/>
      <c r="C481" s="43"/>
      <c r="G481" s="44"/>
      <c r="H481" s="43"/>
      <c r="I481" s="44" t="n">
        <f aca="false">IF(F481="",0,F481*G481)</f>
        <v>0</v>
      </c>
      <c r="N481" s="44" t="str">
        <f aca="false">IF(AND(M481&lt;&gt;"",F481&lt;&gt;""),F481*M481,"")</f>
        <v/>
      </c>
    </row>
    <row r="482" customFormat="false" ht="15" hidden="false" customHeight="false" outlineLevel="0" collapsed="false">
      <c r="A482" s="37" t="str">
        <f aca="false">IF(B482="","",ROW()-3)</f>
        <v/>
      </c>
      <c r="B482" s="38"/>
      <c r="C482" s="39"/>
      <c r="D482" s="39"/>
      <c r="E482" s="39"/>
      <c r="F482" s="39"/>
      <c r="G482" s="40"/>
      <c r="H482" s="39"/>
      <c r="I482" s="40" t="n">
        <f aca="false">IF(F482="",0,F482*G482)</f>
        <v>0</v>
      </c>
      <c r="J482" s="39"/>
      <c r="K482" s="39"/>
      <c r="L482" s="39"/>
      <c r="M482" s="39"/>
      <c r="N482" s="40" t="str">
        <f aca="false">IF(AND(M482&lt;&gt;"",F482&lt;&gt;""),F482*M482,"")</f>
        <v/>
      </c>
    </row>
    <row r="483" customFormat="false" ht="15" hidden="false" customHeight="false" outlineLevel="0" collapsed="false">
      <c r="A483" s="41" t="str">
        <f aca="false">IF(B483="","",ROW()-3)</f>
        <v/>
      </c>
      <c r="B483" s="42"/>
      <c r="C483" s="43"/>
      <c r="G483" s="44"/>
      <c r="H483" s="43"/>
      <c r="I483" s="44" t="n">
        <f aca="false">IF(F483="",0,F483*G483)</f>
        <v>0</v>
      </c>
      <c r="N483" s="44" t="str">
        <f aca="false">IF(AND(M483&lt;&gt;"",F483&lt;&gt;""),F483*M483,"")</f>
        <v/>
      </c>
    </row>
    <row r="484" customFormat="false" ht="15" hidden="false" customHeight="false" outlineLevel="0" collapsed="false">
      <c r="A484" s="37" t="str">
        <f aca="false">IF(B484="","",ROW()-3)</f>
        <v/>
      </c>
      <c r="B484" s="38"/>
      <c r="C484" s="39"/>
      <c r="D484" s="39"/>
      <c r="E484" s="39"/>
      <c r="F484" s="39"/>
      <c r="G484" s="40"/>
      <c r="H484" s="39"/>
      <c r="I484" s="40" t="n">
        <f aca="false">IF(F484="",0,F484*G484)</f>
        <v>0</v>
      </c>
      <c r="J484" s="39"/>
      <c r="K484" s="39"/>
      <c r="L484" s="39"/>
      <c r="M484" s="39"/>
      <c r="N484" s="40" t="str">
        <f aca="false">IF(AND(M484&lt;&gt;"",F484&lt;&gt;""),F484*M484,"")</f>
        <v/>
      </c>
    </row>
    <row r="485" customFormat="false" ht="15" hidden="false" customHeight="false" outlineLevel="0" collapsed="false">
      <c r="A485" s="41" t="str">
        <f aca="false">IF(B485="","",ROW()-3)</f>
        <v/>
      </c>
      <c r="B485" s="42"/>
      <c r="C485" s="43"/>
      <c r="G485" s="44"/>
      <c r="H485" s="43"/>
      <c r="I485" s="44" t="n">
        <f aca="false">IF(F485="",0,F485*G485)</f>
        <v>0</v>
      </c>
      <c r="N485" s="44" t="str">
        <f aca="false">IF(AND(M485&lt;&gt;"",F485&lt;&gt;""),F485*M485,"")</f>
        <v/>
      </c>
    </row>
    <row r="486" customFormat="false" ht="15" hidden="false" customHeight="false" outlineLevel="0" collapsed="false">
      <c r="A486" s="37" t="str">
        <f aca="false">IF(B486="","",ROW()-3)</f>
        <v/>
      </c>
      <c r="B486" s="38"/>
      <c r="C486" s="39"/>
      <c r="D486" s="39"/>
      <c r="E486" s="39"/>
      <c r="F486" s="39"/>
      <c r="G486" s="40"/>
      <c r="H486" s="39"/>
      <c r="I486" s="40" t="n">
        <f aca="false">IF(F486="",0,F486*G486)</f>
        <v>0</v>
      </c>
      <c r="J486" s="39"/>
      <c r="K486" s="39"/>
      <c r="L486" s="39"/>
      <c r="M486" s="39"/>
      <c r="N486" s="40" t="str">
        <f aca="false">IF(AND(M486&lt;&gt;"",F486&lt;&gt;""),F486*M486,"")</f>
        <v/>
      </c>
    </row>
    <row r="487" customFormat="false" ht="15" hidden="false" customHeight="false" outlineLevel="0" collapsed="false">
      <c r="A487" s="41" t="str">
        <f aca="false">IF(B487="","",ROW()-3)</f>
        <v/>
      </c>
      <c r="B487" s="42"/>
      <c r="C487" s="43"/>
      <c r="G487" s="44"/>
      <c r="H487" s="43"/>
      <c r="I487" s="44" t="n">
        <f aca="false">IF(F487="",0,F487*G487)</f>
        <v>0</v>
      </c>
      <c r="N487" s="44" t="str">
        <f aca="false">IF(AND(M487&lt;&gt;"",F487&lt;&gt;""),F487*M487,"")</f>
        <v/>
      </c>
    </row>
    <row r="488" customFormat="false" ht="15" hidden="false" customHeight="false" outlineLevel="0" collapsed="false">
      <c r="A488" s="37" t="str">
        <f aca="false">IF(B488="","",ROW()-3)</f>
        <v/>
      </c>
      <c r="B488" s="38"/>
      <c r="C488" s="39"/>
      <c r="D488" s="39"/>
      <c r="E488" s="39"/>
      <c r="F488" s="39"/>
      <c r="G488" s="40"/>
      <c r="H488" s="39"/>
      <c r="I488" s="40" t="n">
        <f aca="false">IF(F488="",0,F488*G488)</f>
        <v>0</v>
      </c>
      <c r="J488" s="39"/>
      <c r="K488" s="39"/>
      <c r="L488" s="39"/>
      <c r="M488" s="39"/>
      <c r="N488" s="40" t="str">
        <f aca="false">IF(AND(M488&lt;&gt;"",F488&lt;&gt;""),F488*M488,"")</f>
        <v/>
      </c>
    </row>
    <row r="489" customFormat="false" ht="15" hidden="false" customHeight="false" outlineLevel="0" collapsed="false">
      <c r="A489" s="41" t="str">
        <f aca="false">IF(B489="","",ROW()-3)</f>
        <v/>
      </c>
      <c r="B489" s="42"/>
      <c r="C489" s="43"/>
      <c r="G489" s="44"/>
      <c r="H489" s="43"/>
      <c r="I489" s="44" t="n">
        <f aca="false">IF(F489="",0,F489*G489)</f>
        <v>0</v>
      </c>
      <c r="N489" s="44" t="str">
        <f aca="false">IF(AND(M489&lt;&gt;"",F489&lt;&gt;""),F489*M489,"")</f>
        <v/>
      </c>
    </row>
    <row r="490" customFormat="false" ht="15" hidden="false" customHeight="false" outlineLevel="0" collapsed="false">
      <c r="A490" s="37" t="str">
        <f aca="false">IF(B490="","",ROW()-3)</f>
        <v/>
      </c>
      <c r="B490" s="38"/>
      <c r="C490" s="39"/>
      <c r="D490" s="39"/>
      <c r="E490" s="39"/>
      <c r="F490" s="39"/>
      <c r="G490" s="40"/>
      <c r="H490" s="39"/>
      <c r="I490" s="40" t="n">
        <f aca="false">IF(F490="",0,F490*G490)</f>
        <v>0</v>
      </c>
      <c r="J490" s="39"/>
      <c r="K490" s="39"/>
      <c r="L490" s="39"/>
      <c r="M490" s="39"/>
      <c r="N490" s="40" t="str">
        <f aca="false">IF(AND(M490&lt;&gt;"",F490&lt;&gt;""),F490*M490,"")</f>
        <v/>
      </c>
    </row>
    <row r="491" customFormat="false" ht="15" hidden="false" customHeight="false" outlineLevel="0" collapsed="false">
      <c r="A491" s="41" t="str">
        <f aca="false">IF(B491="","",ROW()-3)</f>
        <v/>
      </c>
      <c r="B491" s="42"/>
      <c r="C491" s="43"/>
      <c r="G491" s="44"/>
      <c r="H491" s="43"/>
      <c r="I491" s="44" t="n">
        <f aca="false">IF(F491="",0,F491*G491)</f>
        <v>0</v>
      </c>
      <c r="N491" s="44" t="str">
        <f aca="false">IF(AND(M491&lt;&gt;"",F491&lt;&gt;""),F491*M491,"")</f>
        <v/>
      </c>
    </row>
    <row r="492" customFormat="false" ht="15" hidden="false" customHeight="false" outlineLevel="0" collapsed="false">
      <c r="A492" s="37" t="str">
        <f aca="false">IF(B492="","",ROW()-3)</f>
        <v/>
      </c>
      <c r="B492" s="38"/>
      <c r="C492" s="39"/>
      <c r="D492" s="39"/>
      <c r="E492" s="39"/>
      <c r="F492" s="39"/>
      <c r="G492" s="40"/>
      <c r="H492" s="39"/>
      <c r="I492" s="40" t="n">
        <f aca="false">IF(F492="",0,F492*G492)</f>
        <v>0</v>
      </c>
      <c r="J492" s="39"/>
      <c r="K492" s="39"/>
      <c r="L492" s="39"/>
      <c r="M492" s="39"/>
      <c r="N492" s="40" t="str">
        <f aca="false">IF(AND(M492&lt;&gt;"",F492&lt;&gt;""),F492*M492,"")</f>
        <v/>
      </c>
    </row>
    <row r="493" customFormat="false" ht="15" hidden="false" customHeight="false" outlineLevel="0" collapsed="false">
      <c r="A493" s="41" t="str">
        <f aca="false">IF(B493="","",ROW()-3)</f>
        <v/>
      </c>
      <c r="B493" s="42"/>
      <c r="C493" s="43"/>
      <c r="G493" s="44"/>
      <c r="H493" s="43"/>
      <c r="I493" s="44" t="n">
        <f aca="false">IF(F493="",0,F493*G493)</f>
        <v>0</v>
      </c>
      <c r="N493" s="44" t="str">
        <f aca="false">IF(AND(M493&lt;&gt;"",F493&lt;&gt;""),F493*M493,"")</f>
        <v/>
      </c>
    </row>
    <row r="494" customFormat="false" ht="15" hidden="false" customHeight="false" outlineLevel="0" collapsed="false">
      <c r="A494" s="37" t="str">
        <f aca="false">IF(B494="","",ROW()-3)</f>
        <v/>
      </c>
      <c r="B494" s="38"/>
      <c r="C494" s="39"/>
      <c r="D494" s="39"/>
      <c r="E494" s="39"/>
      <c r="F494" s="39"/>
      <c r="G494" s="40"/>
      <c r="H494" s="39"/>
      <c r="I494" s="40" t="n">
        <f aca="false">IF(F494="",0,F494*G494)</f>
        <v>0</v>
      </c>
      <c r="J494" s="39"/>
      <c r="K494" s="39"/>
      <c r="L494" s="39"/>
      <c r="M494" s="39"/>
      <c r="N494" s="40" t="str">
        <f aca="false">IF(AND(M494&lt;&gt;"",F494&lt;&gt;""),F494*M494,"")</f>
        <v/>
      </c>
    </row>
    <row r="495" customFormat="false" ht="15" hidden="false" customHeight="false" outlineLevel="0" collapsed="false">
      <c r="A495" s="41" t="str">
        <f aca="false">IF(B495="","",ROW()-3)</f>
        <v/>
      </c>
      <c r="B495" s="42"/>
      <c r="C495" s="43"/>
      <c r="G495" s="44"/>
      <c r="H495" s="43"/>
      <c r="I495" s="44" t="n">
        <f aca="false">IF(F495="",0,F495*G495)</f>
        <v>0</v>
      </c>
      <c r="N495" s="44" t="str">
        <f aca="false">IF(AND(M495&lt;&gt;"",F495&lt;&gt;""),F495*M495,"")</f>
        <v/>
      </c>
    </row>
    <row r="496" customFormat="false" ht="15" hidden="false" customHeight="false" outlineLevel="0" collapsed="false">
      <c r="A496" s="37" t="str">
        <f aca="false">IF(B496="","",ROW()-3)</f>
        <v/>
      </c>
      <c r="B496" s="38"/>
      <c r="C496" s="39"/>
      <c r="D496" s="39"/>
      <c r="E496" s="39"/>
      <c r="F496" s="39"/>
      <c r="G496" s="40"/>
      <c r="H496" s="39"/>
      <c r="I496" s="40" t="n">
        <f aca="false">IF(F496="",0,F496*G496)</f>
        <v>0</v>
      </c>
      <c r="J496" s="39"/>
      <c r="K496" s="39"/>
      <c r="L496" s="39"/>
      <c r="M496" s="39"/>
      <c r="N496" s="40" t="str">
        <f aca="false">IF(AND(M496&lt;&gt;"",F496&lt;&gt;""),F496*M496,"")</f>
        <v/>
      </c>
    </row>
    <row r="497" customFormat="false" ht="15" hidden="false" customHeight="false" outlineLevel="0" collapsed="false">
      <c r="A497" s="41" t="str">
        <f aca="false">IF(B497="","",ROW()-3)</f>
        <v/>
      </c>
      <c r="B497" s="42"/>
      <c r="C497" s="43"/>
      <c r="G497" s="44"/>
      <c r="H497" s="43"/>
      <c r="I497" s="44" t="n">
        <f aca="false">IF(F497="",0,F497*G497)</f>
        <v>0</v>
      </c>
      <c r="N497" s="44" t="str">
        <f aca="false">IF(AND(M497&lt;&gt;"",F497&lt;&gt;""),F497*M497,"")</f>
        <v/>
      </c>
    </row>
    <row r="498" customFormat="false" ht="15" hidden="false" customHeight="false" outlineLevel="0" collapsed="false">
      <c r="A498" s="37" t="str">
        <f aca="false">IF(B498="","",ROW()-3)</f>
        <v/>
      </c>
      <c r="B498" s="38"/>
      <c r="C498" s="39"/>
      <c r="D498" s="39"/>
      <c r="E498" s="39"/>
      <c r="F498" s="39"/>
      <c r="G498" s="40"/>
      <c r="H498" s="39"/>
      <c r="I498" s="40" t="n">
        <f aca="false">IF(F498="",0,F498*G498)</f>
        <v>0</v>
      </c>
      <c r="J498" s="39"/>
      <c r="K498" s="39"/>
      <c r="L498" s="39"/>
      <c r="M498" s="39"/>
      <c r="N498" s="40" t="str">
        <f aca="false">IF(AND(M498&lt;&gt;"",F498&lt;&gt;""),F498*M498,"")</f>
        <v/>
      </c>
    </row>
    <row r="499" customFormat="false" ht="15" hidden="false" customHeight="false" outlineLevel="0" collapsed="false">
      <c r="A499" s="41" t="str">
        <f aca="false">IF(B499="","",ROW()-3)</f>
        <v/>
      </c>
      <c r="B499" s="42"/>
      <c r="C499" s="43"/>
      <c r="G499" s="44"/>
      <c r="H499" s="43"/>
      <c r="I499" s="44" t="n">
        <f aca="false">IF(F499="",0,F499*G499)</f>
        <v>0</v>
      </c>
      <c r="N499" s="44" t="str">
        <f aca="false">IF(AND(M499&lt;&gt;"",F499&lt;&gt;""),F499*M499,"")</f>
        <v/>
      </c>
    </row>
    <row r="500" customFormat="false" ht="15" hidden="false" customHeight="false" outlineLevel="0" collapsed="false">
      <c r="A500" s="37" t="str">
        <f aca="false">IF(B500="","",ROW()-3)</f>
        <v/>
      </c>
      <c r="B500" s="38"/>
      <c r="C500" s="39"/>
      <c r="D500" s="39"/>
      <c r="E500" s="39"/>
      <c r="F500" s="39"/>
      <c r="G500" s="40"/>
      <c r="H500" s="39"/>
      <c r="I500" s="40" t="n">
        <f aca="false">IF(F500="",0,F500*G500)</f>
        <v>0</v>
      </c>
      <c r="J500" s="39"/>
      <c r="K500" s="39"/>
      <c r="L500" s="39"/>
      <c r="M500" s="39"/>
      <c r="N500" s="40" t="str">
        <f aca="false">IF(AND(M500&lt;&gt;"",F500&lt;&gt;""),F500*M500,"")</f>
        <v/>
      </c>
    </row>
    <row r="501" customFormat="false" ht="15" hidden="false" customHeight="false" outlineLevel="0" collapsed="false">
      <c r="A501" s="41" t="str">
        <f aca="false">IF(B501="","",ROW()-3)</f>
        <v/>
      </c>
      <c r="B501" s="42"/>
      <c r="C501" s="43"/>
      <c r="G501" s="44"/>
      <c r="H501" s="43"/>
      <c r="I501" s="44" t="n">
        <f aca="false">IF(F501="",0,F501*G501)</f>
        <v>0</v>
      </c>
      <c r="N501" s="44" t="str">
        <f aca="false">IF(AND(M501&lt;&gt;"",F501&lt;&gt;""),F501*M501,"")</f>
        <v/>
      </c>
    </row>
    <row r="502" customFormat="false" ht="15" hidden="false" customHeight="false" outlineLevel="0" collapsed="false">
      <c r="A502" s="37" t="str">
        <f aca="false">IF(B502="","",ROW()-3)</f>
        <v/>
      </c>
      <c r="B502" s="38"/>
      <c r="C502" s="39"/>
      <c r="D502" s="39"/>
      <c r="E502" s="39"/>
      <c r="F502" s="39"/>
      <c r="G502" s="40"/>
      <c r="H502" s="39"/>
      <c r="I502" s="40" t="n">
        <f aca="false">IF(F502="",0,F502*G502)</f>
        <v>0</v>
      </c>
      <c r="J502" s="39"/>
      <c r="K502" s="39"/>
      <c r="L502" s="39"/>
      <c r="M502" s="39"/>
      <c r="N502" s="40" t="str">
        <f aca="false">IF(AND(M502&lt;&gt;"",F502&lt;&gt;""),F502*M502,"")</f>
        <v/>
      </c>
    </row>
    <row r="503" customFormat="false" ht="15" hidden="false" customHeight="false" outlineLevel="0" collapsed="false">
      <c r="A503" s="41" t="str">
        <f aca="false">IF(B503="","",ROW()-3)</f>
        <v/>
      </c>
      <c r="B503" s="42"/>
      <c r="C503" s="43"/>
      <c r="G503" s="44"/>
      <c r="H503" s="43"/>
      <c r="I503" s="44" t="n">
        <f aca="false">IF(F503="",0,F503*G503)</f>
        <v>0</v>
      </c>
      <c r="N503" s="44" t="str">
        <f aca="false">IF(AND(M503&lt;&gt;"",F503&lt;&gt;""),F503*M503,"")</f>
        <v/>
      </c>
    </row>
    <row r="504" customFormat="false" ht="15" hidden="false" customHeight="false" outlineLevel="0" collapsed="false">
      <c r="A504" s="37" t="str">
        <f aca="false">IF(B504="","",ROW()-3)</f>
        <v/>
      </c>
      <c r="B504" s="38"/>
      <c r="C504" s="39"/>
      <c r="D504" s="39"/>
      <c r="E504" s="39"/>
      <c r="F504" s="39"/>
      <c r="G504" s="40"/>
      <c r="H504" s="39"/>
      <c r="I504" s="40" t="n">
        <f aca="false">IF(F504="",0,F504*G504)</f>
        <v>0</v>
      </c>
      <c r="J504" s="39"/>
      <c r="K504" s="39"/>
      <c r="L504" s="39"/>
      <c r="M504" s="39"/>
      <c r="N504" s="40" t="str">
        <f aca="false">IF(AND(M504&lt;&gt;"",F504&lt;&gt;""),F504*M504,"")</f>
        <v/>
      </c>
    </row>
    <row r="505" customFormat="false" ht="15" hidden="false" customHeight="false" outlineLevel="0" collapsed="false">
      <c r="A505" s="41" t="str">
        <f aca="false">IF(B505="","",ROW()-3)</f>
        <v/>
      </c>
      <c r="B505" s="42"/>
      <c r="C505" s="43"/>
      <c r="G505" s="44"/>
      <c r="H505" s="43"/>
      <c r="I505" s="44" t="n">
        <f aca="false">IF(F505="",0,F505*G505)</f>
        <v>0</v>
      </c>
      <c r="N505" s="44" t="str">
        <f aca="false">IF(AND(M505&lt;&gt;"",F505&lt;&gt;""),F505*M505,"")</f>
        <v/>
      </c>
    </row>
    <row r="506" customFormat="false" ht="15" hidden="false" customHeight="false" outlineLevel="0" collapsed="false">
      <c r="A506" s="37" t="str">
        <f aca="false">IF(B506="","",ROW()-3)</f>
        <v/>
      </c>
      <c r="B506" s="38"/>
      <c r="C506" s="39"/>
      <c r="D506" s="39"/>
      <c r="E506" s="39"/>
      <c r="F506" s="39"/>
      <c r="G506" s="40"/>
      <c r="H506" s="39"/>
      <c r="I506" s="40" t="n">
        <f aca="false">IF(F506="",0,F506*G506)</f>
        <v>0</v>
      </c>
      <c r="J506" s="39"/>
      <c r="K506" s="39"/>
      <c r="L506" s="39"/>
      <c r="M506" s="39"/>
      <c r="N506" s="40" t="str">
        <f aca="false">IF(AND(M506&lt;&gt;"",F506&lt;&gt;""),F506*M506,"")</f>
        <v/>
      </c>
    </row>
    <row r="507" customFormat="false" ht="15" hidden="false" customHeight="false" outlineLevel="0" collapsed="false">
      <c r="A507" s="41" t="str">
        <f aca="false">IF(B507="","",ROW()-3)</f>
        <v/>
      </c>
      <c r="B507" s="42"/>
      <c r="C507" s="43"/>
      <c r="G507" s="44"/>
      <c r="H507" s="43"/>
      <c r="I507" s="44" t="n">
        <f aca="false">IF(F507="",0,F507*G507)</f>
        <v>0</v>
      </c>
      <c r="N507" s="44" t="str">
        <f aca="false">IF(AND(M507&lt;&gt;"",F507&lt;&gt;""),F507*M507,"")</f>
        <v/>
      </c>
    </row>
    <row r="508" customFormat="false" ht="15" hidden="false" customHeight="false" outlineLevel="0" collapsed="false">
      <c r="A508" s="37" t="str">
        <f aca="false">IF(B508="","",ROW()-3)</f>
        <v/>
      </c>
      <c r="B508" s="38"/>
      <c r="C508" s="39"/>
      <c r="D508" s="39"/>
      <c r="E508" s="39"/>
      <c r="F508" s="39"/>
      <c r="G508" s="40"/>
      <c r="H508" s="39"/>
      <c r="I508" s="40" t="n">
        <f aca="false">IF(F508="",0,F508*G508)</f>
        <v>0</v>
      </c>
      <c r="J508" s="39"/>
      <c r="K508" s="39"/>
      <c r="L508" s="39"/>
      <c r="M508" s="39"/>
      <c r="N508" s="40" t="str">
        <f aca="false">IF(AND(M508&lt;&gt;"",F508&lt;&gt;""),F508*M508,"")</f>
        <v/>
      </c>
    </row>
    <row r="509" customFormat="false" ht="15" hidden="false" customHeight="false" outlineLevel="0" collapsed="false">
      <c r="A509" s="41" t="str">
        <f aca="false">IF(B509="","",ROW()-3)</f>
        <v/>
      </c>
      <c r="B509" s="42"/>
      <c r="C509" s="43"/>
      <c r="G509" s="44"/>
      <c r="H509" s="43"/>
      <c r="I509" s="44" t="n">
        <f aca="false">IF(F509="",0,F509*G509)</f>
        <v>0</v>
      </c>
      <c r="N509" s="44" t="str">
        <f aca="false">IF(AND(M509&lt;&gt;"",F509&lt;&gt;""),F509*M509,"")</f>
        <v/>
      </c>
    </row>
    <row r="510" customFormat="false" ht="15" hidden="false" customHeight="false" outlineLevel="0" collapsed="false">
      <c r="A510" s="37" t="str">
        <f aca="false">IF(B510="","",ROW()-3)</f>
        <v/>
      </c>
      <c r="B510" s="38"/>
      <c r="C510" s="39"/>
      <c r="D510" s="39"/>
      <c r="E510" s="39"/>
      <c r="F510" s="39"/>
      <c r="G510" s="40"/>
      <c r="H510" s="39"/>
      <c r="I510" s="40" t="n">
        <f aca="false">IF(F510="",0,F510*G510)</f>
        <v>0</v>
      </c>
      <c r="J510" s="39"/>
      <c r="K510" s="39"/>
      <c r="L510" s="39"/>
      <c r="M510" s="39"/>
      <c r="N510" s="40" t="str">
        <f aca="false">IF(AND(M510&lt;&gt;"",F510&lt;&gt;""),F510*M510,"")</f>
        <v/>
      </c>
    </row>
    <row r="511" customFormat="false" ht="15" hidden="false" customHeight="false" outlineLevel="0" collapsed="false">
      <c r="A511" s="41" t="str">
        <f aca="false">IF(B511="","",ROW()-3)</f>
        <v/>
      </c>
      <c r="B511" s="42"/>
      <c r="C511" s="43"/>
      <c r="G511" s="44"/>
      <c r="H511" s="43"/>
      <c r="I511" s="44" t="n">
        <f aca="false">IF(F511="",0,F511*G511)</f>
        <v>0</v>
      </c>
      <c r="N511" s="44" t="str">
        <f aca="false">IF(AND(M511&lt;&gt;"",F511&lt;&gt;""),F511*M511,"")</f>
        <v/>
      </c>
    </row>
    <row r="512" customFormat="false" ht="15" hidden="false" customHeight="false" outlineLevel="0" collapsed="false">
      <c r="A512" s="37" t="str">
        <f aca="false">IF(B512="","",ROW()-3)</f>
        <v/>
      </c>
      <c r="B512" s="38"/>
      <c r="C512" s="39"/>
      <c r="D512" s="39"/>
      <c r="E512" s="39"/>
      <c r="F512" s="39"/>
      <c r="G512" s="40"/>
      <c r="H512" s="39"/>
      <c r="I512" s="40" t="n">
        <f aca="false">IF(F512="",0,F512*G512)</f>
        <v>0</v>
      </c>
      <c r="J512" s="39"/>
      <c r="K512" s="39"/>
      <c r="L512" s="39"/>
      <c r="M512" s="39"/>
      <c r="N512" s="40" t="str">
        <f aca="false">IF(AND(M512&lt;&gt;"",F512&lt;&gt;""),F512*M512,"")</f>
        <v/>
      </c>
    </row>
    <row r="513" customFormat="false" ht="15" hidden="false" customHeight="false" outlineLevel="0" collapsed="false">
      <c r="A513" s="41" t="str">
        <f aca="false">IF(B513="","",ROW()-3)</f>
        <v/>
      </c>
      <c r="B513" s="42"/>
      <c r="C513" s="43"/>
      <c r="G513" s="44"/>
      <c r="H513" s="43"/>
      <c r="I513" s="44" t="n">
        <f aca="false">IF(F513="",0,F513*G513)</f>
        <v>0</v>
      </c>
      <c r="N513" s="44" t="str">
        <f aca="false">IF(AND(M513&lt;&gt;"",F513&lt;&gt;""),F513*M513,"")</f>
        <v/>
      </c>
    </row>
    <row r="514" customFormat="false" ht="15" hidden="false" customHeight="false" outlineLevel="0" collapsed="false">
      <c r="A514" s="37" t="str">
        <f aca="false">IF(B514="","",ROW()-3)</f>
        <v/>
      </c>
      <c r="B514" s="38"/>
      <c r="C514" s="39"/>
      <c r="D514" s="39"/>
      <c r="E514" s="39"/>
      <c r="F514" s="39"/>
      <c r="G514" s="40"/>
      <c r="H514" s="39"/>
      <c r="I514" s="40" t="n">
        <f aca="false">IF(F514="",0,F514*G514)</f>
        <v>0</v>
      </c>
      <c r="J514" s="39"/>
      <c r="K514" s="39"/>
      <c r="L514" s="39"/>
      <c r="M514" s="39"/>
      <c r="N514" s="40" t="str">
        <f aca="false">IF(AND(M514&lt;&gt;"",F514&lt;&gt;""),F514*M514,"")</f>
        <v/>
      </c>
    </row>
    <row r="515" customFormat="false" ht="15" hidden="false" customHeight="false" outlineLevel="0" collapsed="false">
      <c r="A515" s="41" t="str">
        <f aca="false">IF(B515="","",ROW()-3)</f>
        <v/>
      </c>
      <c r="B515" s="42"/>
      <c r="C515" s="43"/>
      <c r="G515" s="44"/>
      <c r="H515" s="43"/>
      <c r="I515" s="44" t="n">
        <f aca="false">IF(F515="",0,F515*G515)</f>
        <v>0</v>
      </c>
      <c r="N515" s="44" t="str">
        <f aca="false">IF(AND(M515&lt;&gt;"",F515&lt;&gt;""),F515*M515,"")</f>
        <v/>
      </c>
    </row>
    <row r="516" customFormat="false" ht="15" hidden="false" customHeight="false" outlineLevel="0" collapsed="false">
      <c r="A516" s="37" t="str">
        <f aca="false">IF(B516="","",ROW()-3)</f>
        <v/>
      </c>
      <c r="B516" s="38"/>
      <c r="C516" s="39"/>
      <c r="D516" s="39"/>
      <c r="E516" s="39"/>
      <c r="F516" s="39"/>
      <c r="G516" s="40"/>
      <c r="H516" s="39"/>
      <c r="I516" s="40" t="n">
        <f aca="false">IF(F516="",0,F516*G516)</f>
        <v>0</v>
      </c>
      <c r="J516" s="39"/>
      <c r="K516" s="39"/>
      <c r="L516" s="39"/>
      <c r="M516" s="39"/>
      <c r="N516" s="40" t="str">
        <f aca="false">IF(AND(M516&lt;&gt;"",F516&lt;&gt;""),F516*M516,"")</f>
        <v/>
      </c>
    </row>
    <row r="517" customFormat="false" ht="15" hidden="false" customHeight="false" outlineLevel="0" collapsed="false">
      <c r="A517" s="41" t="str">
        <f aca="false">IF(B517="","",ROW()-3)</f>
        <v/>
      </c>
      <c r="B517" s="42"/>
      <c r="C517" s="43"/>
      <c r="G517" s="44"/>
      <c r="H517" s="43"/>
      <c r="I517" s="44" t="n">
        <f aca="false">IF(F517="",0,F517*G517)</f>
        <v>0</v>
      </c>
      <c r="N517" s="44" t="str">
        <f aca="false">IF(AND(M517&lt;&gt;"",F517&lt;&gt;""),F517*M517,"")</f>
        <v/>
      </c>
    </row>
    <row r="518" customFormat="false" ht="15" hidden="false" customHeight="false" outlineLevel="0" collapsed="false">
      <c r="A518" s="37" t="str">
        <f aca="false">IF(B518="","",ROW()-3)</f>
        <v/>
      </c>
      <c r="B518" s="38"/>
      <c r="C518" s="39"/>
      <c r="D518" s="39"/>
      <c r="E518" s="39"/>
      <c r="F518" s="39"/>
      <c r="G518" s="40"/>
      <c r="H518" s="39"/>
      <c r="I518" s="40" t="n">
        <f aca="false">IF(F518="",0,F518*G518)</f>
        <v>0</v>
      </c>
      <c r="J518" s="39"/>
      <c r="K518" s="39"/>
      <c r="L518" s="39"/>
      <c r="M518" s="39"/>
      <c r="N518" s="40" t="str">
        <f aca="false">IF(AND(M518&lt;&gt;"",F518&lt;&gt;""),F518*M518,"")</f>
        <v/>
      </c>
    </row>
    <row r="519" customFormat="false" ht="15" hidden="false" customHeight="false" outlineLevel="0" collapsed="false">
      <c r="A519" s="41" t="str">
        <f aca="false">IF(B519="","",ROW()-3)</f>
        <v/>
      </c>
      <c r="B519" s="42"/>
      <c r="C519" s="43"/>
      <c r="G519" s="44"/>
      <c r="H519" s="43"/>
      <c r="I519" s="44" t="n">
        <f aca="false">IF(F519="",0,F519*G519)</f>
        <v>0</v>
      </c>
      <c r="N519" s="44" t="str">
        <f aca="false">IF(AND(M519&lt;&gt;"",F519&lt;&gt;""),F519*M519,"")</f>
        <v/>
      </c>
    </row>
    <row r="520" customFormat="false" ht="15" hidden="false" customHeight="false" outlineLevel="0" collapsed="false">
      <c r="A520" s="37" t="str">
        <f aca="false">IF(B520="","",ROW()-3)</f>
        <v/>
      </c>
      <c r="B520" s="38"/>
      <c r="C520" s="39"/>
      <c r="D520" s="39"/>
      <c r="E520" s="39"/>
      <c r="F520" s="39"/>
      <c r="G520" s="40"/>
      <c r="H520" s="39"/>
      <c r="I520" s="40" t="n">
        <f aca="false">IF(F520="",0,F520*G520)</f>
        <v>0</v>
      </c>
      <c r="J520" s="39"/>
      <c r="K520" s="39"/>
      <c r="L520" s="39"/>
      <c r="M520" s="39"/>
      <c r="N520" s="40" t="str">
        <f aca="false">IF(AND(M520&lt;&gt;"",F520&lt;&gt;""),F520*M520,"")</f>
        <v/>
      </c>
    </row>
    <row r="521" customFormat="false" ht="15" hidden="false" customHeight="false" outlineLevel="0" collapsed="false">
      <c r="A521" s="41" t="str">
        <f aca="false">IF(B521="","",ROW()-3)</f>
        <v/>
      </c>
      <c r="B521" s="42"/>
      <c r="C521" s="43"/>
      <c r="G521" s="44"/>
      <c r="H521" s="43"/>
      <c r="I521" s="44" t="n">
        <f aca="false">IF(F521="",0,F521*G521)</f>
        <v>0</v>
      </c>
      <c r="N521" s="44" t="str">
        <f aca="false">IF(AND(M521&lt;&gt;"",F521&lt;&gt;""),F521*M521,"")</f>
        <v/>
      </c>
    </row>
    <row r="522" customFormat="false" ht="15" hidden="false" customHeight="false" outlineLevel="0" collapsed="false">
      <c r="A522" s="37" t="str">
        <f aca="false">IF(B522="","",ROW()-3)</f>
        <v/>
      </c>
      <c r="B522" s="38"/>
      <c r="C522" s="39"/>
      <c r="D522" s="39"/>
      <c r="E522" s="39"/>
      <c r="F522" s="39"/>
      <c r="G522" s="40"/>
      <c r="H522" s="39"/>
      <c r="I522" s="40" t="n">
        <f aca="false">IF(F522="",0,F522*G522)</f>
        <v>0</v>
      </c>
      <c r="J522" s="39"/>
      <c r="K522" s="39"/>
      <c r="L522" s="39"/>
      <c r="M522" s="39"/>
      <c r="N522" s="40" t="str">
        <f aca="false">IF(AND(M522&lt;&gt;"",F522&lt;&gt;""),F522*M522,"")</f>
        <v/>
      </c>
    </row>
    <row r="523" customFormat="false" ht="15" hidden="false" customHeight="false" outlineLevel="0" collapsed="false">
      <c r="A523" s="41" t="str">
        <f aca="false">IF(B523="","",ROW()-3)</f>
        <v/>
      </c>
      <c r="B523" s="42"/>
      <c r="C523" s="43"/>
      <c r="G523" s="44"/>
      <c r="H523" s="43"/>
      <c r="I523" s="44" t="n">
        <f aca="false">IF(F523="",0,F523*G523)</f>
        <v>0</v>
      </c>
      <c r="N523" s="44" t="str">
        <f aca="false">IF(AND(M523&lt;&gt;"",F523&lt;&gt;""),F523*M523,"")</f>
        <v/>
      </c>
    </row>
    <row r="524" customFormat="false" ht="15" hidden="false" customHeight="false" outlineLevel="0" collapsed="false">
      <c r="A524" s="37" t="str">
        <f aca="false">IF(B524="","",ROW()-3)</f>
        <v/>
      </c>
      <c r="B524" s="38"/>
      <c r="C524" s="39"/>
      <c r="D524" s="39"/>
      <c r="E524" s="39"/>
      <c r="F524" s="39"/>
      <c r="G524" s="40"/>
      <c r="H524" s="39"/>
      <c r="I524" s="40" t="n">
        <f aca="false">IF(F524="",0,F524*G524)</f>
        <v>0</v>
      </c>
      <c r="J524" s="39"/>
      <c r="K524" s="39"/>
      <c r="L524" s="39"/>
      <c r="M524" s="39"/>
      <c r="N524" s="40" t="str">
        <f aca="false">IF(AND(M524&lt;&gt;"",F524&lt;&gt;""),F524*M524,"")</f>
        <v/>
      </c>
    </row>
    <row r="525" customFormat="false" ht="15" hidden="false" customHeight="false" outlineLevel="0" collapsed="false">
      <c r="A525" s="41" t="str">
        <f aca="false">IF(B525="","",ROW()-3)</f>
        <v/>
      </c>
      <c r="B525" s="42"/>
      <c r="C525" s="43"/>
      <c r="G525" s="44"/>
      <c r="H525" s="43"/>
      <c r="I525" s="44" t="n">
        <f aca="false">IF(F525="",0,F525*G525)</f>
        <v>0</v>
      </c>
      <c r="N525" s="44" t="str">
        <f aca="false">IF(AND(M525&lt;&gt;"",F525&lt;&gt;""),F525*M525,"")</f>
        <v/>
      </c>
    </row>
    <row r="526" customFormat="false" ht="15" hidden="false" customHeight="false" outlineLevel="0" collapsed="false">
      <c r="A526" s="37" t="str">
        <f aca="false">IF(B526="","",ROW()-3)</f>
        <v/>
      </c>
      <c r="B526" s="38"/>
      <c r="C526" s="39"/>
      <c r="D526" s="39"/>
      <c r="E526" s="39"/>
      <c r="F526" s="39"/>
      <c r="G526" s="40"/>
      <c r="H526" s="39"/>
      <c r="I526" s="40" t="n">
        <f aca="false">IF(F526="",0,F526*G526)</f>
        <v>0</v>
      </c>
      <c r="J526" s="39"/>
      <c r="K526" s="39"/>
      <c r="L526" s="39"/>
      <c r="M526" s="39"/>
      <c r="N526" s="40" t="str">
        <f aca="false">IF(AND(M526&lt;&gt;"",F526&lt;&gt;""),F526*M526,"")</f>
        <v/>
      </c>
    </row>
    <row r="527" customFormat="false" ht="15" hidden="false" customHeight="false" outlineLevel="0" collapsed="false">
      <c r="A527" s="41" t="str">
        <f aca="false">IF(B527="","",ROW()-3)</f>
        <v/>
      </c>
      <c r="B527" s="42"/>
      <c r="C527" s="43"/>
      <c r="G527" s="44"/>
      <c r="H527" s="43"/>
      <c r="I527" s="44" t="n">
        <f aca="false">IF(F527="",0,F527*G527)</f>
        <v>0</v>
      </c>
      <c r="N527" s="44" t="str">
        <f aca="false">IF(AND(M527&lt;&gt;"",F527&lt;&gt;""),F527*M527,"")</f>
        <v/>
      </c>
    </row>
    <row r="528" customFormat="false" ht="15" hidden="false" customHeight="false" outlineLevel="0" collapsed="false">
      <c r="A528" s="37" t="str">
        <f aca="false">IF(B528="","",ROW()-3)</f>
        <v/>
      </c>
      <c r="B528" s="38"/>
      <c r="C528" s="39"/>
      <c r="D528" s="39"/>
      <c r="E528" s="39"/>
      <c r="F528" s="39"/>
      <c r="G528" s="40"/>
      <c r="H528" s="39"/>
      <c r="I528" s="40" t="n">
        <f aca="false">IF(F528="",0,F528*G528)</f>
        <v>0</v>
      </c>
      <c r="J528" s="39"/>
      <c r="K528" s="39"/>
      <c r="L528" s="39"/>
      <c r="M528" s="39"/>
      <c r="N528" s="40" t="str">
        <f aca="false">IF(AND(M528&lt;&gt;"",F528&lt;&gt;""),F528*M528,"")</f>
        <v/>
      </c>
    </row>
    <row r="529" customFormat="false" ht="15" hidden="false" customHeight="false" outlineLevel="0" collapsed="false">
      <c r="A529" s="41" t="str">
        <f aca="false">IF(B529="","",ROW()-3)</f>
        <v/>
      </c>
      <c r="B529" s="42"/>
      <c r="C529" s="43"/>
      <c r="G529" s="44"/>
      <c r="H529" s="43"/>
      <c r="I529" s="44" t="n">
        <f aca="false">IF(F529="",0,F529*G529)</f>
        <v>0</v>
      </c>
      <c r="N529" s="44" t="str">
        <f aca="false">IF(AND(M529&lt;&gt;"",F529&lt;&gt;""),F529*M529,"")</f>
        <v/>
      </c>
    </row>
    <row r="530" customFormat="false" ht="15" hidden="false" customHeight="false" outlineLevel="0" collapsed="false">
      <c r="A530" s="37" t="str">
        <f aca="false">IF(B530="","",ROW()-3)</f>
        <v/>
      </c>
      <c r="B530" s="38"/>
      <c r="C530" s="39"/>
      <c r="D530" s="39"/>
      <c r="E530" s="39"/>
      <c r="F530" s="39"/>
      <c r="G530" s="40"/>
      <c r="H530" s="39"/>
      <c r="I530" s="40" t="n">
        <f aca="false">IF(F530="",0,F530*G530)</f>
        <v>0</v>
      </c>
      <c r="J530" s="39"/>
      <c r="K530" s="39"/>
      <c r="L530" s="39"/>
      <c r="M530" s="39"/>
      <c r="N530" s="40" t="str">
        <f aca="false">IF(AND(M530&lt;&gt;"",F530&lt;&gt;""),F530*M530,"")</f>
        <v/>
      </c>
    </row>
    <row r="531" customFormat="false" ht="15" hidden="false" customHeight="false" outlineLevel="0" collapsed="false">
      <c r="A531" s="41" t="str">
        <f aca="false">IF(B531="","",ROW()-3)</f>
        <v/>
      </c>
      <c r="B531" s="42"/>
      <c r="C531" s="43"/>
      <c r="G531" s="44"/>
      <c r="H531" s="43"/>
      <c r="I531" s="44" t="n">
        <f aca="false">IF(F531="",0,F531*G531)</f>
        <v>0</v>
      </c>
      <c r="N531" s="44" t="str">
        <f aca="false">IF(AND(M531&lt;&gt;"",F531&lt;&gt;""),F531*M531,"")</f>
        <v/>
      </c>
    </row>
    <row r="532" customFormat="false" ht="15" hidden="false" customHeight="false" outlineLevel="0" collapsed="false">
      <c r="A532" s="37" t="str">
        <f aca="false">IF(B532="","",ROW()-3)</f>
        <v/>
      </c>
      <c r="B532" s="38"/>
      <c r="C532" s="39"/>
      <c r="D532" s="39"/>
      <c r="E532" s="39"/>
      <c r="F532" s="39"/>
      <c r="G532" s="40"/>
      <c r="H532" s="39"/>
      <c r="I532" s="40" t="n">
        <f aca="false">IF(F532="",0,F532*G532)</f>
        <v>0</v>
      </c>
      <c r="J532" s="39"/>
      <c r="K532" s="39"/>
      <c r="L532" s="39"/>
      <c r="M532" s="39"/>
      <c r="N532" s="40" t="str">
        <f aca="false">IF(AND(M532&lt;&gt;"",F532&lt;&gt;""),F532*M532,"")</f>
        <v/>
      </c>
    </row>
    <row r="533" customFormat="false" ht="15" hidden="false" customHeight="false" outlineLevel="0" collapsed="false">
      <c r="A533" s="41" t="str">
        <f aca="false">IF(B533="","",ROW()-3)</f>
        <v/>
      </c>
      <c r="B533" s="42"/>
      <c r="C533" s="43"/>
      <c r="G533" s="44"/>
      <c r="H533" s="43"/>
      <c r="I533" s="44" t="n">
        <f aca="false">IF(F533="",0,F533*G533)</f>
        <v>0</v>
      </c>
      <c r="N533" s="44" t="str">
        <f aca="false">IF(AND(M533&lt;&gt;"",F533&lt;&gt;""),F533*M533,"")</f>
        <v/>
      </c>
    </row>
    <row r="534" customFormat="false" ht="15" hidden="false" customHeight="false" outlineLevel="0" collapsed="false">
      <c r="A534" s="37" t="str">
        <f aca="false">IF(B534="","",ROW()-3)</f>
        <v/>
      </c>
      <c r="B534" s="38"/>
      <c r="C534" s="39"/>
      <c r="D534" s="39"/>
      <c r="E534" s="39"/>
      <c r="F534" s="39"/>
      <c r="G534" s="40"/>
      <c r="H534" s="39"/>
      <c r="I534" s="40" t="n">
        <f aca="false">IF(F534="",0,F534*G534)</f>
        <v>0</v>
      </c>
      <c r="J534" s="39"/>
      <c r="K534" s="39"/>
      <c r="L534" s="39"/>
      <c r="M534" s="39"/>
      <c r="N534" s="40" t="str">
        <f aca="false">IF(AND(M534&lt;&gt;"",F534&lt;&gt;""),F534*M534,"")</f>
        <v/>
      </c>
    </row>
    <row r="535" customFormat="false" ht="15" hidden="false" customHeight="false" outlineLevel="0" collapsed="false">
      <c r="A535" s="41" t="str">
        <f aca="false">IF(B535="","",ROW()-3)</f>
        <v/>
      </c>
      <c r="B535" s="42"/>
      <c r="C535" s="43"/>
      <c r="G535" s="44"/>
      <c r="H535" s="43"/>
      <c r="I535" s="44" t="n">
        <f aca="false">IF(F535="",0,F535*G535)</f>
        <v>0</v>
      </c>
      <c r="N535" s="44" t="str">
        <f aca="false">IF(AND(M535&lt;&gt;"",F535&lt;&gt;""),F535*M535,"")</f>
        <v/>
      </c>
    </row>
    <row r="536" customFormat="false" ht="15" hidden="false" customHeight="false" outlineLevel="0" collapsed="false">
      <c r="A536" s="37" t="str">
        <f aca="false">IF(B536="","",ROW()-3)</f>
        <v/>
      </c>
      <c r="B536" s="38"/>
      <c r="C536" s="39"/>
      <c r="D536" s="39"/>
      <c r="E536" s="39"/>
      <c r="F536" s="39"/>
      <c r="G536" s="40"/>
      <c r="H536" s="39"/>
      <c r="I536" s="40" t="n">
        <f aca="false">IF(F536="",0,F536*G536)</f>
        <v>0</v>
      </c>
      <c r="J536" s="39"/>
      <c r="K536" s="39"/>
      <c r="L536" s="39"/>
      <c r="M536" s="39"/>
      <c r="N536" s="40" t="str">
        <f aca="false">IF(AND(M536&lt;&gt;"",F536&lt;&gt;""),F536*M536,"")</f>
        <v/>
      </c>
    </row>
    <row r="537" customFormat="false" ht="15" hidden="false" customHeight="false" outlineLevel="0" collapsed="false">
      <c r="A537" s="41" t="str">
        <f aca="false">IF(B537="","",ROW()-3)</f>
        <v/>
      </c>
      <c r="B537" s="42"/>
      <c r="C537" s="43"/>
      <c r="G537" s="44"/>
      <c r="H537" s="43"/>
      <c r="I537" s="44" t="n">
        <f aca="false">IF(F537="",0,F537*G537)</f>
        <v>0</v>
      </c>
      <c r="N537" s="44" t="str">
        <f aca="false">IF(AND(M537&lt;&gt;"",F537&lt;&gt;""),F537*M537,"")</f>
        <v/>
      </c>
    </row>
    <row r="538" customFormat="false" ht="15" hidden="false" customHeight="false" outlineLevel="0" collapsed="false">
      <c r="A538" s="37" t="str">
        <f aca="false">IF(B538="","",ROW()-3)</f>
        <v/>
      </c>
      <c r="B538" s="38"/>
      <c r="C538" s="39"/>
      <c r="D538" s="39"/>
      <c r="E538" s="39"/>
      <c r="F538" s="39"/>
      <c r="G538" s="40"/>
      <c r="H538" s="39"/>
      <c r="I538" s="40" t="n">
        <f aca="false">IF(F538="",0,F538*G538)</f>
        <v>0</v>
      </c>
      <c r="J538" s="39"/>
      <c r="K538" s="39"/>
      <c r="L538" s="39"/>
      <c r="M538" s="39"/>
      <c r="N538" s="40" t="str">
        <f aca="false">IF(AND(M538&lt;&gt;"",F538&lt;&gt;""),F538*M538,"")</f>
        <v/>
      </c>
    </row>
    <row r="539" customFormat="false" ht="15" hidden="false" customHeight="false" outlineLevel="0" collapsed="false">
      <c r="A539" s="41" t="str">
        <f aca="false">IF(B539="","",ROW()-3)</f>
        <v/>
      </c>
      <c r="B539" s="42"/>
      <c r="C539" s="43"/>
      <c r="G539" s="44"/>
      <c r="H539" s="43"/>
      <c r="I539" s="44" t="n">
        <f aca="false">IF(F539="",0,F539*G539)</f>
        <v>0</v>
      </c>
      <c r="N539" s="44" t="str">
        <f aca="false">IF(AND(M539&lt;&gt;"",F539&lt;&gt;""),F539*M539,"")</f>
        <v/>
      </c>
    </row>
    <row r="540" customFormat="false" ht="15" hidden="false" customHeight="false" outlineLevel="0" collapsed="false">
      <c r="A540" s="37" t="str">
        <f aca="false">IF(B540="","",ROW()-3)</f>
        <v/>
      </c>
      <c r="B540" s="38"/>
      <c r="C540" s="39"/>
      <c r="D540" s="39"/>
      <c r="E540" s="39"/>
      <c r="F540" s="39"/>
      <c r="G540" s="40"/>
      <c r="H540" s="39"/>
      <c r="I540" s="40" t="n">
        <f aca="false">IF(F540="",0,F540*G540)</f>
        <v>0</v>
      </c>
      <c r="J540" s="39"/>
      <c r="K540" s="39"/>
      <c r="L540" s="39"/>
      <c r="M540" s="39"/>
      <c r="N540" s="40" t="str">
        <f aca="false">IF(AND(M540&lt;&gt;"",F540&lt;&gt;""),F540*M540,"")</f>
        <v/>
      </c>
    </row>
    <row r="541" customFormat="false" ht="15" hidden="false" customHeight="false" outlineLevel="0" collapsed="false">
      <c r="A541" s="41" t="str">
        <f aca="false">IF(B541="","",ROW()-3)</f>
        <v/>
      </c>
      <c r="B541" s="42"/>
      <c r="C541" s="43"/>
      <c r="G541" s="44"/>
      <c r="H541" s="43"/>
      <c r="I541" s="44" t="n">
        <f aca="false">IF(F541="",0,F541*G541)</f>
        <v>0</v>
      </c>
      <c r="N541" s="44" t="str">
        <f aca="false">IF(AND(M541&lt;&gt;"",F541&lt;&gt;""),F541*M541,"")</f>
        <v/>
      </c>
    </row>
    <row r="542" customFormat="false" ht="15" hidden="false" customHeight="false" outlineLevel="0" collapsed="false">
      <c r="A542" s="37" t="str">
        <f aca="false">IF(B542="","",ROW()-3)</f>
        <v/>
      </c>
      <c r="B542" s="38"/>
      <c r="C542" s="39"/>
      <c r="D542" s="39"/>
      <c r="E542" s="39"/>
      <c r="F542" s="39"/>
      <c r="G542" s="40"/>
      <c r="H542" s="39"/>
      <c r="I542" s="40" t="n">
        <f aca="false">IF(F542="",0,F542*G542)</f>
        <v>0</v>
      </c>
      <c r="J542" s="39"/>
      <c r="K542" s="39"/>
      <c r="L542" s="39"/>
      <c r="M542" s="39"/>
      <c r="N542" s="40" t="str">
        <f aca="false">IF(AND(M542&lt;&gt;"",F542&lt;&gt;""),F542*M542,"")</f>
        <v/>
      </c>
    </row>
    <row r="543" customFormat="false" ht="15" hidden="false" customHeight="false" outlineLevel="0" collapsed="false">
      <c r="A543" s="41" t="str">
        <f aca="false">IF(B543="","",ROW()-3)</f>
        <v/>
      </c>
      <c r="B543" s="42"/>
      <c r="C543" s="43"/>
      <c r="G543" s="44"/>
      <c r="H543" s="43"/>
      <c r="I543" s="44" t="n">
        <f aca="false">IF(F543="",0,F543*G543)</f>
        <v>0</v>
      </c>
      <c r="N543" s="44" t="str">
        <f aca="false">IF(AND(M543&lt;&gt;"",F543&lt;&gt;""),F543*M543,"")</f>
        <v/>
      </c>
    </row>
    <row r="544" customFormat="false" ht="15" hidden="false" customHeight="false" outlineLevel="0" collapsed="false">
      <c r="A544" s="37" t="str">
        <f aca="false">IF(B544="","",ROW()-3)</f>
        <v/>
      </c>
      <c r="B544" s="38"/>
      <c r="C544" s="39"/>
      <c r="D544" s="39"/>
      <c r="E544" s="39"/>
      <c r="F544" s="39"/>
      <c r="G544" s="40"/>
      <c r="H544" s="39"/>
      <c r="I544" s="40" t="n">
        <f aca="false">IF(F544="",0,F544*G544)</f>
        <v>0</v>
      </c>
      <c r="J544" s="39"/>
      <c r="K544" s="39"/>
      <c r="L544" s="39"/>
      <c r="M544" s="39"/>
      <c r="N544" s="40" t="str">
        <f aca="false">IF(AND(M544&lt;&gt;"",F544&lt;&gt;""),F544*M544,"")</f>
        <v/>
      </c>
    </row>
    <row r="545" customFormat="false" ht="15" hidden="false" customHeight="false" outlineLevel="0" collapsed="false">
      <c r="A545" s="41" t="str">
        <f aca="false">IF(B545="","",ROW()-3)</f>
        <v/>
      </c>
      <c r="B545" s="42"/>
      <c r="C545" s="43"/>
      <c r="G545" s="44"/>
      <c r="H545" s="43"/>
      <c r="I545" s="44" t="n">
        <f aca="false">IF(F545="",0,F545*G545)</f>
        <v>0</v>
      </c>
      <c r="N545" s="44" t="str">
        <f aca="false">IF(AND(M545&lt;&gt;"",F545&lt;&gt;""),F545*M545,"")</f>
        <v/>
      </c>
    </row>
    <row r="546" customFormat="false" ht="15" hidden="false" customHeight="false" outlineLevel="0" collapsed="false">
      <c r="A546" s="37" t="str">
        <f aca="false">IF(B546="","",ROW()-3)</f>
        <v/>
      </c>
      <c r="B546" s="38"/>
      <c r="C546" s="39"/>
      <c r="D546" s="39"/>
      <c r="E546" s="39"/>
      <c r="F546" s="39"/>
      <c r="G546" s="40"/>
      <c r="H546" s="39"/>
      <c r="I546" s="40" t="n">
        <f aca="false">IF(F546="",0,F546*G546)</f>
        <v>0</v>
      </c>
      <c r="J546" s="39"/>
      <c r="K546" s="39"/>
      <c r="L546" s="39"/>
      <c r="M546" s="39"/>
      <c r="N546" s="40" t="str">
        <f aca="false">IF(AND(M546&lt;&gt;"",F546&lt;&gt;""),F546*M546,"")</f>
        <v/>
      </c>
    </row>
    <row r="547" customFormat="false" ht="15" hidden="false" customHeight="false" outlineLevel="0" collapsed="false">
      <c r="A547" s="41" t="str">
        <f aca="false">IF(B547="","",ROW()-3)</f>
        <v/>
      </c>
      <c r="B547" s="42"/>
      <c r="C547" s="43"/>
      <c r="G547" s="44"/>
      <c r="H547" s="43"/>
      <c r="I547" s="44" t="n">
        <f aca="false">IF(F547="",0,F547*G547)</f>
        <v>0</v>
      </c>
      <c r="N547" s="44" t="str">
        <f aca="false">IF(AND(M547&lt;&gt;"",F547&lt;&gt;""),F547*M547,"")</f>
        <v/>
      </c>
    </row>
    <row r="548" customFormat="false" ht="15" hidden="false" customHeight="false" outlineLevel="0" collapsed="false">
      <c r="A548" s="37" t="str">
        <f aca="false">IF(B548="","",ROW()-3)</f>
        <v/>
      </c>
      <c r="B548" s="38"/>
      <c r="C548" s="39"/>
      <c r="D548" s="39"/>
      <c r="E548" s="39"/>
      <c r="F548" s="39"/>
      <c r="G548" s="40"/>
      <c r="H548" s="39"/>
      <c r="I548" s="40" t="n">
        <f aca="false">IF(F548="",0,F548*G548)</f>
        <v>0</v>
      </c>
      <c r="J548" s="39"/>
      <c r="K548" s="39"/>
      <c r="L548" s="39"/>
      <c r="M548" s="39"/>
      <c r="N548" s="40" t="str">
        <f aca="false">IF(AND(M548&lt;&gt;"",F548&lt;&gt;""),F548*M548,"")</f>
        <v/>
      </c>
    </row>
    <row r="549" customFormat="false" ht="15" hidden="false" customHeight="false" outlineLevel="0" collapsed="false">
      <c r="A549" s="41" t="str">
        <f aca="false">IF(B549="","",ROW()-3)</f>
        <v/>
      </c>
      <c r="B549" s="42"/>
      <c r="C549" s="43"/>
      <c r="G549" s="44"/>
      <c r="H549" s="43"/>
      <c r="I549" s="44" t="n">
        <f aca="false">IF(F549="",0,F549*G549)</f>
        <v>0</v>
      </c>
      <c r="N549" s="44" t="str">
        <f aca="false">IF(AND(M549&lt;&gt;"",F549&lt;&gt;""),F549*M549,"")</f>
        <v/>
      </c>
    </row>
    <row r="550" customFormat="false" ht="15" hidden="false" customHeight="false" outlineLevel="0" collapsed="false">
      <c r="A550" s="37" t="str">
        <f aca="false">IF(B550="","",ROW()-3)</f>
        <v/>
      </c>
      <c r="B550" s="38"/>
      <c r="C550" s="39"/>
      <c r="D550" s="39"/>
      <c r="E550" s="39"/>
      <c r="F550" s="39"/>
      <c r="G550" s="40"/>
      <c r="H550" s="39"/>
      <c r="I550" s="40" t="n">
        <f aca="false">IF(F550="",0,F550*G550)</f>
        <v>0</v>
      </c>
      <c r="J550" s="39"/>
      <c r="K550" s="39"/>
      <c r="L550" s="39"/>
      <c r="M550" s="39"/>
      <c r="N550" s="40" t="str">
        <f aca="false">IF(AND(M550&lt;&gt;"",F550&lt;&gt;""),F550*M550,"")</f>
        <v/>
      </c>
    </row>
    <row r="551" customFormat="false" ht="15" hidden="false" customHeight="false" outlineLevel="0" collapsed="false">
      <c r="A551" s="41" t="str">
        <f aca="false">IF(B551="","",ROW()-3)</f>
        <v/>
      </c>
      <c r="B551" s="42"/>
      <c r="C551" s="43"/>
      <c r="G551" s="44"/>
      <c r="H551" s="43"/>
      <c r="I551" s="44" t="n">
        <f aca="false">IF(F551="",0,F551*G551)</f>
        <v>0</v>
      </c>
      <c r="N551" s="44" t="str">
        <f aca="false">IF(AND(M551&lt;&gt;"",F551&lt;&gt;""),F551*M551,"")</f>
        <v/>
      </c>
    </row>
    <row r="552" customFormat="false" ht="15" hidden="false" customHeight="false" outlineLevel="0" collapsed="false">
      <c r="A552" s="37" t="str">
        <f aca="false">IF(B552="","",ROW()-3)</f>
        <v/>
      </c>
      <c r="B552" s="38"/>
      <c r="C552" s="39"/>
      <c r="D552" s="39"/>
      <c r="E552" s="39"/>
      <c r="F552" s="39"/>
      <c r="G552" s="40"/>
      <c r="H552" s="39"/>
      <c r="I552" s="40" t="n">
        <f aca="false">IF(F552="",0,F552*G552)</f>
        <v>0</v>
      </c>
      <c r="J552" s="39"/>
      <c r="K552" s="39"/>
      <c r="L552" s="39"/>
      <c r="M552" s="39"/>
      <c r="N552" s="40" t="str">
        <f aca="false">IF(AND(M552&lt;&gt;"",F552&lt;&gt;""),F552*M552,"")</f>
        <v/>
      </c>
    </row>
    <row r="553" customFormat="false" ht="15" hidden="false" customHeight="false" outlineLevel="0" collapsed="false">
      <c r="A553" s="41" t="str">
        <f aca="false">IF(B553="","",ROW()-3)</f>
        <v/>
      </c>
      <c r="B553" s="42"/>
      <c r="C553" s="43"/>
      <c r="G553" s="44"/>
      <c r="H553" s="43"/>
      <c r="I553" s="44" t="n">
        <f aca="false">IF(F553="",0,F553*G553)</f>
        <v>0</v>
      </c>
      <c r="N553" s="44" t="str">
        <f aca="false">IF(AND(M553&lt;&gt;"",F553&lt;&gt;""),F553*M553,"")</f>
        <v/>
      </c>
    </row>
    <row r="554" customFormat="false" ht="15" hidden="false" customHeight="false" outlineLevel="0" collapsed="false">
      <c r="A554" s="37" t="str">
        <f aca="false">IF(B554="","",ROW()-3)</f>
        <v/>
      </c>
      <c r="B554" s="38"/>
      <c r="C554" s="39"/>
      <c r="D554" s="39"/>
      <c r="E554" s="39"/>
      <c r="F554" s="39"/>
      <c r="G554" s="40"/>
      <c r="H554" s="39"/>
      <c r="I554" s="40" t="n">
        <f aca="false">IF(F554="",0,F554*G554)</f>
        <v>0</v>
      </c>
      <c r="J554" s="39"/>
      <c r="K554" s="39"/>
      <c r="L554" s="39"/>
      <c r="M554" s="39"/>
      <c r="N554" s="40" t="str">
        <f aca="false">IF(AND(M554&lt;&gt;"",F554&lt;&gt;""),F554*M554,"")</f>
        <v/>
      </c>
    </row>
    <row r="555" customFormat="false" ht="15" hidden="false" customHeight="false" outlineLevel="0" collapsed="false">
      <c r="A555" s="41" t="str">
        <f aca="false">IF(B555="","",ROW()-3)</f>
        <v/>
      </c>
      <c r="B555" s="42"/>
      <c r="C555" s="43"/>
      <c r="G555" s="44"/>
      <c r="H555" s="43"/>
      <c r="I555" s="44" t="n">
        <f aca="false">IF(F555="",0,F555*G555)</f>
        <v>0</v>
      </c>
      <c r="N555" s="44" t="str">
        <f aca="false">IF(AND(M555&lt;&gt;"",F555&lt;&gt;""),F555*M555,"")</f>
        <v/>
      </c>
    </row>
    <row r="556" customFormat="false" ht="15" hidden="false" customHeight="false" outlineLevel="0" collapsed="false">
      <c r="A556" s="37" t="str">
        <f aca="false">IF(B556="","",ROW()-3)</f>
        <v/>
      </c>
      <c r="B556" s="38"/>
      <c r="C556" s="39"/>
      <c r="D556" s="39"/>
      <c r="E556" s="39"/>
      <c r="F556" s="39"/>
      <c r="G556" s="40"/>
      <c r="H556" s="39"/>
      <c r="I556" s="40" t="n">
        <f aca="false">IF(F556="",0,F556*G556)</f>
        <v>0</v>
      </c>
      <c r="J556" s="39"/>
      <c r="K556" s="39"/>
      <c r="L556" s="39"/>
      <c r="M556" s="39"/>
      <c r="N556" s="40" t="str">
        <f aca="false">IF(AND(M556&lt;&gt;"",F556&lt;&gt;""),F556*M556,"")</f>
        <v/>
      </c>
    </row>
    <row r="557" customFormat="false" ht="15" hidden="false" customHeight="false" outlineLevel="0" collapsed="false">
      <c r="A557" s="41" t="str">
        <f aca="false">IF(B557="","",ROW()-3)</f>
        <v/>
      </c>
      <c r="B557" s="42"/>
      <c r="C557" s="43"/>
      <c r="G557" s="44"/>
      <c r="H557" s="43"/>
      <c r="I557" s="44" t="n">
        <f aca="false">IF(F557="",0,F557*G557)</f>
        <v>0</v>
      </c>
      <c r="N557" s="44" t="str">
        <f aca="false">IF(AND(M557&lt;&gt;"",F557&lt;&gt;""),F557*M557,"")</f>
        <v/>
      </c>
    </row>
    <row r="558" customFormat="false" ht="15" hidden="false" customHeight="false" outlineLevel="0" collapsed="false">
      <c r="A558" s="37" t="str">
        <f aca="false">IF(B558="","",ROW()-3)</f>
        <v/>
      </c>
      <c r="B558" s="38"/>
      <c r="C558" s="39"/>
      <c r="D558" s="39"/>
      <c r="E558" s="39"/>
      <c r="F558" s="39"/>
      <c r="G558" s="40"/>
      <c r="H558" s="39"/>
      <c r="I558" s="40" t="n">
        <f aca="false">IF(F558="",0,F558*G558)</f>
        <v>0</v>
      </c>
      <c r="J558" s="39"/>
      <c r="K558" s="39"/>
      <c r="L558" s="39"/>
      <c r="M558" s="39"/>
      <c r="N558" s="40" t="str">
        <f aca="false">IF(AND(M558&lt;&gt;"",F558&lt;&gt;""),F558*M558,"")</f>
        <v/>
      </c>
    </row>
    <row r="559" customFormat="false" ht="15" hidden="false" customHeight="false" outlineLevel="0" collapsed="false">
      <c r="A559" s="41" t="str">
        <f aca="false">IF(B559="","",ROW()-3)</f>
        <v/>
      </c>
      <c r="B559" s="42"/>
      <c r="C559" s="43"/>
      <c r="G559" s="44"/>
      <c r="H559" s="43"/>
      <c r="I559" s="44" t="n">
        <f aca="false">IF(F559="",0,F559*G559)</f>
        <v>0</v>
      </c>
      <c r="N559" s="44" t="str">
        <f aca="false">IF(AND(M559&lt;&gt;"",F559&lt;&gt;""),F559*M559,"")</f>
        <v/>
      </c>
    </row>
    <row r="560" customFormat="false" ht="15" hidden="false" customHeight="false" outlineLevel="0" collapsed="false">
      <c r="A560" s="37" t="str">
        <f aca="false">IF(B560="","",ROW()-3)</f>
        <v/>
      </c>
      <c r="B560" s="38"/>
      <c r="C560" s="39"/>
      <c r="D560" s="39"/>
      <c r="E560" s="39"/>
      <c r="F560" s="39"/>
      <c r="G560" s="40"/>
      <c r="H560" s="39"/>
      <c r="I560" s="40" t="n">
        <f aca="false">IF(F560="",0,F560*G560)</f>
        <v>0</v>
      </c>
      <c r="J560" s="39"/>
      <c r="K560" s="39"/>
      <c r="L560" s="39"/>
      <c r="M560" s="39"/>
      <c r="N560" s="40" t="str">
        <f aca="false">IF(AND(M560&lt;&gt;"",F560&lt;&gt;""),F560*M560,"")</f>
        <v/>
      </c>
    </row>
    <row r="561" customFormat="false" ht="15" hidden="false" customHeight="false" outlineLevel="0" collapsed="false">
      <c r="A561" s="41" t="str">
        <f aca="false">IF(B561="","",ROW()-3)</f>
        <v/>
      </c>
      <c r="B561" s="42"/>
      <c r="C561" s="43"/>
      <c r="G561" s="44"/>
      <c r="H561" s="43"/>
      <c r="I561" s="44" t="n">
        <f aca="false">IF(F561="",0,F561*G561)</f>
        <v>0</v>
      </c>
      <c r="N561" s="44" t="str">
        <f aca="false">IF(AND(M561&lt;&gt;"",F561&lt;&gt;""),F561*M561,"")</f>
        <v/>
      </c>
    </row>
    <row r="562" customFormat="false" ht="15" hidden="false" customHeight="false" outlineLevel="0" collapsed="false">
      <c r="A562" s="37" t="str">
        <f aca="false">IF(B562="","",ROW()-3)</f>
        <v/>
      </c>
      <c r="B562" s="38"/>
      <c r="C562" s="39"/>
      <c r="D562" s="39"/>
      <c r="E562" s="39"/>
      <c r="F562" s="39"/>
      <c r="G562" s="40"/>
      <c r="H562" s="39"/>
      <c r="I562" s="40" t="n">
        <f aca="false">IF(F562="",0,F562*G562)</f>
        <v>0</v>
      </c>
      <c r="J562" s="39"/>
      <c r="K562" s="39"/>
      <c r="L562" s="39"/>
      <c r="M562" s="39"/>
      <c r="N562" s="40" t="str">
        <f aca="false">IF(AND(M562&lt;&gt;"",F562&lt;&gt;""),F562*M562,"")</f>
        <v/>
      </c>
    </row>
    <row r="563" customFormat="false" ht="15" hidden="false" customHeight="false" outlineLevel="0" collapsed="false">
      <c r="A563" s="41" t="str">
        <f aca="false">IF(B563="","",ROW()-3)</f>
        <v/>
      </c>
      <c r="B563" s="42"/>
      <c r="C563" s="43"/>
      <c r="G563" s="44"/>
      <c r="H563" s="43"/>
      <c r="I563" s="44" t="n">
        <f aca="false">IF(F563="",0,F563*G563)</f>
        <v>0</v>
      </c>
      <c r="N563" s="44" t="str">
        <f aca="false">IF(AND(M563&lt;&gt;"",F563&lt;&gt;""),F563*M563,"")</f>
        <v/>
      </c>
    </row>
    <row r="564" customFormat="false" ht="15" hidden="false" customHeight="false" outlineLevel="0" collapsed="false">
      <c r="A564" s="37" t="str">
        <f aca="false">IF(B564="","",ROW()-3)</f>
        <v/>
      </c>
      <c r="B564" s="38"/>
      <c r="C564" s="39"/>
      <c r="D564" s="39"/>
      <c r="E564" s="39"/>
      <c r="F564" s="39"/>
      <c r="G564" s="40"/>
      <c r="H564" s="39"/>
      <c r="I564" s="40" t="n">
        <f aca="false">IF(F564="",0,F564*G564)</f>
        <v>0</v>
      </c>
      <c r="J564" s="39"/>
      <c r="K564" s="39"/>
      <c r="L564" s="39"/>
      <c r="M564" s="39"/>
      <c r="N564" s="40" t="str">
        <f aca="false">IF(AND(M564&lt;&gt;"",F564&lt;&gt;""),F564*M564,"")</f>
        <v/>
      </c>
    </row>
    <row r="565" customFormat="false" ht="15" hidden="false" customHeight="false" outlineLevel="0" collapsed="false">
      <c r="A565" s="41" t="str">
        <f aca="false">IF(B565="","",ROW()-3)</f>
        <v/>
      </c>
      <c r="B565" s="42"/>
      <c r="C565" s="43"/>
      <c r="G565" s="44"/>
      <c r="H565" s="43"/>
      <c r="I565" s="44" t="n">
        <f aca="false">IF(F565="",0,F565*G565)</f>
        <v>0</v>
      </c>
      <c r="N565" s="44" t="str">
        <f aca="false">IF(AND(M565&lt;&gt;"",F565&lt;&gt;""),F565*M565,"")</f>
        <v/>
      </c>
    </row>
    <row r="566" customFormat="false" ht="15" hidden="false" customHeight="false" outlineLevel="0" collapsed="false">
      <c r="A566" s="37" t="str">
        <f aca="false">IF(B566="","",ROW()-3)</f>
        <v/>
      </c>
      <c r="B566" s="38"/>
      <c r="C566" s="39"/>
      <c r="D566" s="39"/>
      <c r="E566" s="39"/>
      <c r="F566" s="39"/>
      <c r="G566" s="40"/>
      <c r="H566" s="39"/>
      <c r="I566" s="40" t="n">
        <f aca="false">IF(F566="",0,F566*G566)</f>
        <v>0</v>
      </c>
      <c r="J566" s="39"/>
      <c r="K566" s="39"/>
      <c r="L566" s="39"/>
      <c r="M566" s="39"/>
      <c r="N566" s="40" t="str">
        <f aca="false">IF(AND(M566&lt;&gt;"",F566&lt;&gt;""),F566*M566,"")</f>
        <v/>
      </c>
    </row>
    <row r="567" customFormat="false" ht="15" hidden="false" customHeight="false" outlineLevel="0" collapsed="false">
      <c r="A567" s="41" t="str">
        <f aca="false">IF(B567="","",ROW()-3)</f>
        <v/>
      </c>
      <c r="B567" s="42"/>
      <c r="C567" s="43"/>
      <c r="G567" s="44"/>
      <c r="H567" s="43"/>
      <c r="I567" s="44" t="n">
        <f aca="false">IF(F567="",0,F567*G567)</f>
        <v>0</v>
      </c>
      <c r="N567" s="44" t="str">
        <f aca="false">IF(AND(M567&lt;&gt;"",F567&lt;&gt;""),F567*M567,"")</f>
        <v/>
      </c>
    </row>
    <row r="568" customFormat="false" ht="15" hidden="false" customHeight="false" outlineLevel="0" collapsed="false">
      <c r="A568" s="37" t="str">
        <f aca="false">IF(B568="","",ROW()-3)</f>
        <v/>
      </c>
      <c r="B568" s="38"/>
      <c r="C568" s="39"/>
      <c r="D568" s="39"/>
      <c r="E568" s="39"/>
      <c r="F568" s="39"/>
      <c r="G568" s="40"/>
      <c r="H568" s="39"/>
      <c r="I568" s="40" t="n">
        <f aca="false">IF(F568="",0,F568*G568)</f>
        <v>0</v>
      </c>
      <c r="J568" s="39"/>
      <c r="K568" s="39"/>
      <c r="L568" s="39"/>
      <c r="M568" s="39"/>
      <c r="N568" s="40" t="str">
        <f aca="false">IF(AND(M568&lt;&gt;"",F568&lt;&gt;""),F568*M568,"")</f>
        <v/>
      </c>
    </row>
    <row r="569" customFormat="false" ht="15" hidden="false" customHeight="false" outlineLevel="0" collapsed="false">
      <c r="A569" s="41" t="str">
        <f aca="false">IF(B569="","",ROW()-3)</f>
        <v/>
      </c>
      <c r="B569" s="42"/>
      <c r="C569" s="43"/>
      <c r="G569" s="44"/>
      <c r="H569" s="43"/>
      <c r="I569" s="44" t="n">
        <f aca="false">IF(F569="",0,F569*G569)</f>
        <v>0</v>
      </c>
      <c r="N569" s="44" t="str">
        <f aca="false">IF(AND(M569&lt;&gt;"",F569&lt;&gt;""),F569*M569,"")</f>
        <v/>
      </c>
    </row>
    <row r="570" customFormat="false" ht="15" hidden="false" customHeight="false" outlineLevel="0" collapsed="false">
      <c r="A570" s="37" t="str">
        <f aca="false">IF(B570="","",ROW()-3)</f>
        <v/>
      </c>
      <c r="B570" s="38"/>
      <c r="C570" s="39"/>
      <c r="D570" s="39"/>
      <c r="E570" s="39"/>
      <c r="F570" s="39"/>
      <c r="G570" s="40"/>
      <c r="H570" s="39"/>
      <c r="I570" s="40" t="n">
        <f aca="false">IF(F570="",0,F570*G570)</f>
        <v>0</v>
      </c>
      <c r="J570" s="39"/>
      <c r="K570" s="39"/>
      <c r="L570" s="39"/>
      <c r="M570" s="39"/>
      <c r="N570" s="40" t="str">
        <f aca="false">IF(AND(M570&lt;&gt;"",F570&lt;&gt;""),F570*M570,"")</f>
        <v/>
      </c>
    </row>
    <row r="571" customFormat="false" ht="15" hidden="false" customHeight="false" outlineLevel="0" collapsed="false">
      <c r="A571" s="41" t="str">
        <f aca="false">IF(B571="","",ROW()-3)</f>
        <v/>
      </c>
      <c r="B571" s="42"/>
      <c r="C571" s="43"/>
      <c r="G571" s="44"/>
      <c r="H571" s="43"/>
      <c r="I571" s="44" t="n">
        <f aca="false">IF(F571="",0,F571*G571)</f>
        <v>0</v>
      </c>
      <c r="N571" s="44" t="str">
        <f aca="false">IF(AND(M571&lt;&gt;"",F571&lt;&gt;""),F571*M571,"")</f>
        <v/>
      </c>
    </row>
    <row r="572" customFormat="false" ht="15" hidden="false" customHeight="false" outlineLevel="0" collapsed="false">
      <c r="A572" s="37" t="str">
        <f aca="false">IF(B572="","",ROW()-3)</f>
        <v/>
      </c>
      <c r="B572" s="38"/>
      <c r="C572" s="39"/>
      <c r="D572" s="39"/>
      <c r="E572" s="39"/>
      <c r="F572" s="39"/>
      <c r="G572" s="40"/>
      <c r="H572" s="39"/>
      <c r="I572" s="40" t="n">
        <f aca="false">IF(F572="",0,F572*G572)</f>
        <v>0</v>
      </c>
      <c r="J572" s="39"/>
      <c r="K572" s="39"/>
      <c r="L572" s="39"/>
      <c r="M572" s="39"/>
      <c r="N572" s="40" t="str">
        <f aca="false">IF(AND(M572&lt;&gt;"",F572&lt;&gt;""),F572*M572,"")</f>
        <v/>
      </c>
    </row>
    <row r="573" customFormat="false" ht="15" hidden="false" customHeight="false" outlineLevel="0" collapsed="false">
      <c r="A573" s="41" t="str">
        <f aca="false">IF(B573="","",ROW()-3)</f>
        <v/>
      </c>
      <c r="B573" s="42"/>
      <c r="C573" s="43"/>
      <c r="G573" s="44"/>
      <c r="H573" s="43"/>
      <c r="I573" s="44" t="n">
        <f aca="false">IF(F573="",0,F573*G573)</f>
        <v>0</v>
      </c>
      <c r="N573" s="44" t="str">
        <f aca="false">IF(AND(M573&lt;&gt;"",F573&lt;&gt;""),F573*M573,"")</f>
        <v/>
      </c>
    </row>
    <row r="574" customFormat="false" ht="15" hidden="false" customHeight="false" outlineLevel="0" collapsed="false">
      <c r="A574" s="37" t="str">
        <f aca="false">IF(B574="","",ROW()-3)</f>
        <v/>
      </c>
      <c r="B574" s="38"/>
      <c r="C574" s="39"/>
      <c r="D574" s="39"/>
      <c r="E574" s="39"/>
      <c r="F574" s="39"/>
      <c r="G574" s="40"/>
      <c r="H574" s="39"/>
      <c r="I574" s="40" t="n">
        <f aca="false">IF(F574="",0,F574*G574)</f>
        <v>0</v>
      </c>
      <c r="J574" s="39"/>
      <c r="K574" s="39"/>
      <c r="L574" s="39"/>
      <c r="M574" s="39"/>
      <c r="N574" s="40" t="str">
        <f aca="false">IF(AND(M574&lt;&gt;"",F574&lt;&gt;""),F574*M574,"")</f>
        <v/>
      </c>
    </row>
    <row r="575" customFormat="false" ht="15" hidden="false" customHeight="false" outlineLevel="0" collapsed="false">
      <c r="A575" s="41" t="str">
        <f aca="false">IF(B575="","",ROW()-3)</f>
        <v/>
      </c>
      <c r="B575" s="42"/>
      <c r="C575" s="43"/>
      <c r="G575" s="44"/>
      <c r="H575" s="43"/>
      <c r="I575" s="44" t="n">
        <f aca="false">IF(F575="",0,F575*G575)</f>
        <v>0</v>
      </c>
      <c r="N575" s="44" t="str">
        <f aca="false">IF(AND(M575&lt;&gt;"",F575&lt;&gt;""),F575*M575,"")</f>
        <v/>
      </c>
    </row>
    <row r="576" customFormat="false" ht="15" hidden="false" customHeight="false" outlineLevel="0" collapsed="false">
      <c r="A576" s="37" t="str">
        <f aca="false">IF(B576="","",ROW()-3)</f>
        <v/>
      </c>
      <c r="B576" s="38"/>
      <c r="C576" s="39"/>
      <c r="D576" s="39"/>
      <c r="E576" s="39"/>
      <c r="F576" s="39"/>
      <c r="G576" s="40"/>
      <c r="H576" s="39"/>
      <c r="I576" s="40" t="n">
        <f aca="false">IF(F576="",0,F576*G576)</f>
        <v>0</v>
      </c>
      <c r="J576" s="39"/>
      <c r="K576" s="39"/>
      <c r="L576" s="39"/>
      <c r="M576" s="39"/>
      <c r="N576" s="40" t="str">
        <f aca="false">IF(AND(M576&lt;&gt;"",F576&lt;&gt;""),F576*M576,"")</f>
        <v/>
      </c>
    </row>
    <row r="577" customFormat="false" ht="15" hidden="false" customHeight="false" outlineLevel="0" collapsed="false">
      <c r="A577" s="41" t="str">
        <f aca="false">IF(B577="","",ROW()-3)</f>
        <v/>
      </c>
      <c r="B577" s="42"/>
      <c r="C577" s="43"/>
      <c r="G577" s="44"/>
      <c r="H577" s="43"/>
      <c r="I577" s="44" t="n">
        <f aca="false">IF(F577="",0,F577*G577)</f>
        <v>0</v>
      </c>
      <c r="N577" s="44" t="str">
        <f aca="false">IF(AND(M577&lt;&gt;"",F577&lt;&gt;""),F577*M577,"")</f>
        <v/>
      </c>
    </row>
    <row r="578" customFormat="false" ht="15" hidden="false" customHeight="false" outlineLevel="0" collapsed="false">
      <c r="A578" s="37" t="str">
        <f aca="false">IF(B578="","",ROW()-3)</f>
        <v/>
      </c>
      <c r="B578" s="38"/>
      <c r="C578" s="39"/>
      <c r="D578" s="39"/>
      <c r="E578" s="39"/>
      <c r="F578" s="39"/>
      <c r="G578" s="40"/>
      <c r="H578" s="39"/>
      <c r="I578" s="40" t="n">
        <f aca="false">IF(F578="",0,F578*G578)</f>
        <v>0</v>
      </c>
      <c r="J578" s="39"/>
      <c r="K578" s="39"/>
      <c r="L578" s="39"/>
      <c r="M578" s="39"/>
      <c r="N578" s="40" t="str">
        <f aca="false">IF(AND(M578&lt;&gt;"",F578&lt;&gt;""),F578*M578,"")</f>
        <v/>
      </c>
    </row>
    <row r="579" customFormat="false" ht="15" hidden="false" customHeight="false" outlineLevel="0" collapsed="false">
      <c r="A579" s="41" t="str">
        <f aca="false">IF(B579="","",ROW()-3)</f>
        <v/>
      </c>
      <c r="B579" s="42"/>
      <c r="C579" s="43"/>
      <c r="G579" s="44"/>
      <c r="H579" s="43"/>
      <c r="I579" s="44" t="n">
        <f aca="false">IF(F579="",0,F579*G579)</f>
        <v>0</v>
      </c>
      <c r="N579" s="44" t="str">
        <f aca="false">IF(AND(M579&lt;&gt;"",F579&lt;&gt;""),F579*M579,"")</f>
        <v/>
      </c>
    </row>
    <row r="580" customFormat="false" ht="15" hidden="false" customHeight="false" outlineLevel="0" collapsed="false">
      <c r="A580" s="37" t="str">
        <f aca="false">IF(B580="","",ROW()-3)</f>
        <v/>
      </c>
      <c r="B580" s="38"/>
      <c r="C580" s="39"/>
      <c r="D580" s="39"/>
      <c r="E580" s="39"/>
      <c r="F580" s="39"/>
      <c r="G580" s="40"/>
      <c r="H580" s="39"/>
      <c r="I580" s="40" t="n">
        <f aca="false">IF(F580="",0,F580*G580)</f>
        <v>0</v>
      </c>
      <c r="J580" s="39"/>
      <c r="K580" s="39"/>
      <c r="L580" s="39"/>
      <c r="M580" s="39"/>
      <c r="N580" s="40" t="str">
        <f aca="false">IF(AND(M580&lt;&gt;"",F580&lt;&gt;""),F580*M580,"")</f>
        <v/>
      </c>
    </row>
    <row r="581" customFormat="false" ht="15" hidden="false" customHeight="false" outlineLevel="0" collapsed="false">
      <c r="A581" s="41" t="str">
        <f aca="false">IF(B581="","",ROW()-3)</f>
        <v/>
      </c>
      <c r="B581" s="42"/>
      <c r="C581" s="43"/>
      <c r="G581" s="44"/>
      <c r="H581" s="43"/>
      <c r="I581" s="44" t="n">
        <f aca="false">IF(F581="",0,F581*G581)</f>
        <v>0</v>
      </c>
      <c r="N581" s="44" t="str">
        <f aca="false">IF(AND(M581&lt;&gt;"",F581&lt;&gt;""),F581*M581,"")</f>
        <v/>
      </c>
    </row>
    <row r="582" customFormat="false" ht="15" hidden="false" customHeight="false" outlineLevel="0" collapsed="false">
      <c r="A582" s="37" t="str">
        <f aca="false">IF(B582="","",ROW()-3)</f>
        <v/>
      </c>
      <c r="B582" s="38"/>
      <c r="C582" s="39"/>
      <c r="D582" s="39"/>
      <c r="E582" s="39"/>
      <c r="F582" s="39"/>
      <c r="G582" s="40"/>
      <c r="H582" s="39"/>
      <c r="I582" s="40" t="n">
        <f aca="false">IF(F582="",0,F582*G582)</f>
        <v>0</v>
      </c>
      <c r="J582" s="39"/>
      <c r="K582" s="39"/>
      <c r="L582" s="39"/>
      <c r="M582" s="39"/>
      <c r="N582" s="40" t="str">
        <f aca="false">IF(AND(M582&lt;&gt;"",F582&lt;&gt;""),F582*M582,"")</f>
        <v/>
      </c>
    </row>
    <row r="583" customFormat="false" ht="15" hidden="false" customHeight="false" outlineLevel="0" collapsed="false">
      <c r="A583" s="41" t="str">
        <f aca="false">IF(B583="","",ROW()-3)</f>
        <v/>
      </c>
      <c r="B583" s="42"/>
      <c r="C583" s="43"/>
      <c r="G583" s="44"/>
      <c r="H583" s="43"/>
      <c r="I583" s="44" t="n">
        <f aca="false">IF(F583="",0,F583*G583)</f>
        <v>0</v>
      </c>
      <c r="N583" s="44" t="str">
        <f aca="false">IF(AND(M583&lt;&gt;"",F583&lt;&gt;""),F583*M583,"")</f>
        <v/>
      </c>
    </row>
    <row r="584" customFormat="false" ht="15" hidden="false" customHeight="false" outlineLevel="0" collapsed="false">
      <c r="A584" s="37" t="str">
        <f aca="false">IF(B584="","",ROW()-3)</f>
        <v/>
      </c>
      <c r="B584" s="38"/>
      <c r="C584" s="39"/>
      <c r="D584" s="39"/>
      <c r="E584" s="39"/>
      <c r="F584" s="39"/>
      <c r="G584" s="40"/>
      <c r="H584" s="39"/>
      <c r="I584" s="40" t="n">
        <f aca="false">IF(F584="",0,F584*G584)</f>
        <v>0</v>
      </c>
      <c r="J584" s="39"/>
      <c r="K584" s="39"/>
      <c r="L584" s="39"/>
      <c r="M584" s="39"/>
      <c r="N584" s="40" t="str">
        <f aca="false">IF(AND(M584&lt;&gt;"",F584&lt;&gt;""),F584*M584,"")</f>
        <v/>
      </c>
    </row>
    <row r="585" customFormat="false" ht="15" hidden="false" customHeight="false" outlineLevel="0" collapsed="false">
      <c r="A585" s="41" t="str">
        <f aca="false">IF(B585="","",ROW()-3)</f>
        <v/>
      </c>
      <c r="B585" s="42"/>
      <c r="C585" s="43"/>
      <c r="G585" s="44"/>
      <c r="H585" s="43"/>
      <c r="I585" s="44" t="n">
        <f aca="false">IF(F585="",0,F585*G585)</f>
        <v>0</v>
      </c>
      <c r="N585" s="44" t="str">
        <f aca="false">IF(AND(M585&lt;&gt;"",F585&lt;&gt;""),F585*M585,"")</f>
        <v/>
      </c>
    </row>
    <row r="586" customFormat="false" ht="15" hidden="false" customHeight="false" outlineLevel="0" collapsed="false">
      <c r="A586" s="37" t="str">
        <f aca="false">IF(B586="","",ROW()-3)</f>
        <v/>
      </c>
      <c r="B586" s="38"/>
      <c r="C586" s="39"/>
      <c r="D586" s="39"/>
      <c r="E586" s="39"/>
      <c r="F586" s="39"/>
      <c r="G586" s="40"/>
      <c r="H586" s="39"/>
      <c r="I586" s="40" t="n">
        <f aca="false">IF(F586="",0,F586*G586)</f>
        <v>0</v>
      </c>
      <c r="J586" s="39"/>
      <c r="K586" s="39"/>
      <c r="L586" s="39"/>
      <c r="M586" s="39"/>
      <c r="N586" s="40" t="str">
        <f aca="false">IF(AND(M586&lt;&gt;"",F586&lt;&gt;""),F586*M586,"")</f>
        <v/>
      </c>
    </row>
    <row r="587" customFormat="false" ht="15" hidden="false" customHeight="false" outlineLevel="0" collapsed="false">
      <c r="A587" s="41" t="str">
        <f aca="false">IF(B587="","",ROW()-3)</f>
        <v/>
      </c>
      <c r="B587" s="42"/>
      <c r="C587" s="43"/>
      <c r="G587" s="44"/>
      <c r="H587" s="43"/>
      <c r="I587" s="44" t="n">
        <f aca="false">IF(F587="",0,F587*G587)</f>
        <v>0</v>
      </c>
      <c r="N587" s="44" t="str">
        <f aca="false">IF(AND(M587&lt;&gt;"",F587&lt;&gt;""),F587*M587,"")</f>
        <v/>
      </c>
    </row>
    <row r="588" customFormat="false" ht="15" hidden="false" customHeight="false" outlineLevel="0" collapsed="false">
      <c r="A588" s="37" t="str">
        <f aca="false">IF(B588="","",ROW()-3)</f>
        <v/>
      </c>
      <c r="B588" s="38"/>
      <c r="C588" s="39"/>
      <c r="D588" s="39"/>
      <c r="E588" s="39"/>
      <c r="F588" s="39"/>
      <c r="G588" s="40"/>
      <c r="H588" s="39"/>
      <c r="I588" s="40" t="n">
        <f aca="false">IF(F588="",0,F588*G588)</f>
        <v>0</v>
      </c>
      <c r="J588" s="39"/>
      <c r="K588" s="39"/>
      <c r="L588" s="39"/>
      <c r="M588" s="39"/>
      <c r="N588" s="40" t="str">
        <f aca="false">IF(AND(M588&lt;&gt;"",F588&lt;&gt;""),F588*M588,"")</f>
        <v/>
      </c>
    </row>
    <row r="589" customFormat="false" ht="15" hidden="false" customHeight="false" outlineLevel="0" collapsed="false">
      <c r="A589" s="41" t="str">
        <f aca="false">IF(B589="","",ROW()-3)</f>
        <v/>
      </c>
      <c r="B589" s="42"/>
      <c r="C589" s="43"/>
      <c r="G589" s="44"/>
      <c r="H589" s="43"/>
      <c r="I589" s="44" t="n">
        <f aca="false">IF(F589="",0,F589*G589)</f>
        <v>0</v>
      </c>
      <c r="N589" s="44" t="str">
        <f aca="false">IF(AND(M589&lt;&gt;"",F589&lt;&gt;""),F589*M589,"")</f>
        <v/>
      </c>
    </row>
    <row r="590" customFormat="false" ht="15" hidden="false" customHeight="false" outlineLevel="0" collapsed="false">
      <c r="A590" s="37" t="str">
        <f aca="false">IF(B590="","",ROW()-3)</f>
        <v/>
      </c>
      <c r="B590" s="38"/>
      <c r="C590" s="39"/>
      <c r="D590" s="39"/>
      <c r="E590" s="39"/>
      <c r="F590" s="39"/>
      <c r="G590" s="40"/>
      <c r="H590" s="39"/>
      <c r="I590" s="40" t="n">
        <f aca="false">IF(F590="",0,F590*G590)</f>
        <v>0</v>
      </c>
      <c r="J590" s="39"/>
      <c r="K590" s="39"/>
      <c r="L590" s="39"/>
      <c r="M590" s="39"/>
      <c r="N590" s="40" t="str">
        <f aca="false">IF(AND(M590&lt;&gt;"",F590&lt;&gt;""),F590*M590,"")</f>
        <v/>
      </c>
    </row>
    <row r="591" customFormat="false" ht="15" hidden="false" customHeight="false" outlineLevel="0" collapsed="false">
      <c r="A591" s="41" t="str">
        <f aca="false">IF(B591="","",ROW()-3)</f>
        <v/>
      </c>
      <c r="B591" s="42"/>
      <c r="C591" s="43"/>
      <c r="G591" s="44"/>
      <c r="H591" s="43"/>
      <c r="I591" s="44" t="n">
        <f aca="false">IF(F591="",0,F591*G591)</f>
        <v>0</v>
      </c>
      <c r="N591" s="44" t="str">
        <f aca="false">IF(AND(M591&lt;&gt;"",F591&lt;&gt;""),F591*M591,"")</f>
        <v/>
      </c>
    </row>
    <row r="592" customFormat="false" ht="15" hidden="false" customHeight="false" outlineLevel="0" collapsed="false">
      <c r="A592" s="37" t="str">
        <f aca="false">IF(B592="","",ROW()-3)</f>
        <v/>
      </c>
      <c r="B592" s="38"/>
      <c r="C592" s="39"/>
      <c r="D592" s="39"/>
      <c r="E592" s="39"/>
      <c r="F592" s="39"/>
      <c r="G592" s="40"/>
      <c r="H592" s="39"/>
      <c r="I592" s="40" t="n">
        <f aca="false">IF(F592="",0,F592*G592)</f>
        <v>0</v>
      </c>
      <c r="J592" s="39"/>
      <c r="K592" s="39"/>
      <c r="L592" s="39"/>
      <c r="M592" s="39"/>
      <c r="N592" s="40" t="str">
        <f aca="false">IF(AND(M592&lt;&gt;"",F592&lt;&gt;""),F592*M592,"")</f>
        <v/>
      </c>
    </row>
    <row r="593" customFormat="false" ht="15" hidden="false" customHeight="false" outlineLevel="0" collapsed="false">
      <c r="A593" s="41" t="str">
        <f aca="false">IF(B593="","",ROW()-3)</f>
        <v/>
      </c>
      <c r="B593" s="42"/>
      <c r="C593" s="43"/>
      <c r="G593" s="44"/>
      <c r="H593" s="43"/>
      <c r="I593" s="44" t="n">
        <f aca="false">IF(F593="",0,F593*G593)</f>
        <v>0</v>
      </c>
      <c r="N593" s="44" t="str">
        <f aca="false">IF(AND(M593&lt;&gt;"",F593&lt;&gt;""),F593*M593,"")</f>
        <v/>
      </c>
    </row>
    <row r="594" customFormat="false" ht="15" hidden="false" customHeight="false" outlineLevel="0" collapsed="false">
      <c r="A594" s="37" t="str">
        <f aca="false">IF(B594="","",ROW()-3)</f>
        <v/>
      </c>
      <c r="B594" s="38"/>
      <c r="C594" s="39"/>
      <c r="D594" s="39"/>
      <c r="E594" s="39"/>
      <c r="F594" s="39"/>
      <c r="G594" s="40"/>
      <c r="H594" s="39"/>
      <c r="I594" s="40" t="n">
        <f aca="false">IF(F594="",0,F594*G594)</f>
        <v>0</v>
      </c>
      <c r="J594" s="39"/>
      <c r="K594" s="39"/>
      <c r="L594" s="39"/>
      <c r="M594" s="39"/>
      <c r="N594" s="40" t="str">
        <f aca="false">IF(AND(M594&lt;&gt;"",F594&lt;&gt;""),F594*M594,"")</f>
        <v/>
      </c>
    </row>
    <row r="595" customFormat="false" ht="15" hidden="false" customHeight="false" outlineLevel="0" collapsed="false">
      <c r="A595" s="41" t="str">
        <f aca="false">IF(B595="","",ROW()-3)</f>
        <v/>
      </c>
      <c r="B595" s="42"/>
      <c r="C595" s="43"/>
      <c r="G595" s="44"/>
      <c r="H595" s="43"/>
      <c r="I595" s="44" t="n">
        <f aca="false">IF(F595="",0,F595*G595)</f>
        <v>0</v>
      </c>
      <c r="N595" s="44" t="str">
        <f aca="false">IF(AND(M595&lt;&gt;"",F595&lt;&gt;""),F595*M595,"")</f>
        <v/>
      </c>
    </row>
    <row r="596" customFormat="false" ht="15" hidden="false" customHeight="false" outlineLevel="0" collapsed="false">
      <c r="A596" s="37" t="str">
        <f aca="false">IF(B596="","",ROW()-3)</f>
        <v/>
      </c>
      <c r="B596" s="38"/>
      <c r="C596" s="39"/>
      <c r="D596" s="39"/>
      <c r="E596" s="39"/>
      <c r="F596" s="39"/>
      <c r="G596" s="40"/>
      <c r="H596" s="39"/>
      <c r="I596" s="40" t="n">
        <f aca="false">IF(F596="",0,F596*G596)</f>
        <v>0</v>
      </c>
      <c r="J596" s="39"/>
      <c r="K596" s="39"/>
      <c r="L596" s="39"/>
      <c r="M596" s="39"/>
      <c r="N596" s="40" t="str">
        <f aca="false">IF(AND(M596&lt;&gt;"",F596&lt;&gt;""),F596*M596,"")</f>
        <v/>
      </c>
    </row>
    <row r="597" customFormat="false" ht="15" hidden="false" customHeight="false" outlineLevel="0" collapsed="false">
      <c r="A597" s="41" t="str">
        <f aca="false">IF(B597="","",ROW()-3)</f>
        <v/>
      </c>
      <c r="B597" s="42"/>
      <c r="C597" s="43"/>
      <c r="G597" s="44"/>
      <c r="H597" s="43"/>
      <c r="I597" s="44" t="n">
        <f aca="false">IF(F597="",0,F597*G597)</f>
        <v>0</v>
      </c>
      <c r="N597" s="44" t="str">
        <f aca="false">IF(AND(M597&lt;&gt;"",F597&lt;&gt;""),F597*M597,"")</f>
        <v/>
      </c>
    </row>
    <row r="598" customFormat="false" ht="15" hidden="false" customHeight="false" outlineLevel="0" collapsed="false">
      <c r="A598" s="37" t="str">
        <f aca="false">IF(B598="","",ROW()-3)</f>
        <v/>
      </c>
      <c r="B598" s="38"/>
      <c r="C598" s="39"/>
      <c r="D598" s="39"/>
      <c r="E598" s="39"/>
      <c r="F598" s="39"/>
      <c r="G598" s="40"/>
      <c r="H598" s="39"/>
      <c r="I598" s="40" t="n">
        <f aca="false">IF(F598="",0,F598*G598)</f>
        <v>0</v>
      </c>
      <c r="J598" s="39"/>
      <c r="K598" s="39"/>
      <c r="L598" s="39"/>
      <c r="M598" s="39"/>
      <c r="N598" s="40" t="str">
        <f aca="false">IF(AND(M598&lt;&gt;"",F598&lt;&gt;""),F598*M598,"")</f>
        <v/>
      </c>
    </row>
    <row r="599" customFormat="false" ht="15" hidden="false" customHeight="false" outlineLevel="0" collapsed="false">
      <c r="A599" s="41" t="str">
        <f aca="false">IF(B599="","",ROW()-3)</f>
        <v/>
      </c>
      <c r="B599" s="42"/>
      <c r="C599" s="43"/>
      <c r="G599" s="44"/>
      <c r="H599" s="43"/>
      <c r="I599" s="44" t="n">
        <f aca="false">IF(F599="",0,F599*G599)</f>
        <v>0</v>
      </c>
      <c r="N599" s="44" t="str">
        <f aca="false">IF(AND(M599&lt;&gt;"",F599&lt;&gt;""),F599*M599,"")</f>
        <v/>
      </c>
    </row>
    <row r="600" customFormat="false" ht="15" hidden="false" customHeight="false" outlineLevel="0" collapsed="false">
      <c r="A600" s="37" t="str">
        <f aca="false">IF(B600="","",ROW()-3)</f>
        <v/>
      </c>
      <c r="B600" s="38"/>
      <c r="C600" s="39"/>
      <c r="D600" s="39"/>
      <c r="E600" s="39"/>
      <c r="F600" s="39"/>
      <c r="G600" s="40"/>
      <c r="H600" s="39"/>
      <c r="I600" s="40" t="n">
        <f aca="false">IF(F600="",0,F600*G600)</f>
        <v>0</v>
      </c>
      <c r="J600" s="39"/>
      <c r="K600" s="39"/>
      <c r="L600" s="39"/>
      <c r="M600" s="39"/>
      <c r="N600" s="40" t="str">
        <f aca="false">IF(AND(M600&lt;&gt;"",F600&lt;&gt;""),F600*M600,"")</f>
        <v/>
      </c>
    </row>
    <row r="601" customFormat="false" ht="15" hidden="false" customHeight="false" outlineLevel="0" collapsed="false">
      <c r="A601" s="41" t="str">
        <f aca="false">IF(B601="","",ROW()-3)</f>
        <v/>
      </c>
      <c r="B601" s="42"/>
      <c r="C601" s="43"/>
      <c r="G601" s="44"/>
      <c r="H601" s="43"/>
      <c r="I601" s="44" t="n">
        <f aca="false">IF(F601="",0,F601*G601)</f>
        <v>0</v>
      </c>
      <c r="N601" s="44" t="str">
        <f aca="false">IF(AND(M601&lt;&gt;"",F601&lt;&gt;""),F601*M601,"")</f>
        <v/>
      </c>
    </row>
    <row r="602" customFormat="false" ht="15" hidden="false" customHeight="false" outlineLevel="0" collapsed="false">
      <c r="A602" s="37" t="str">
        <f aca="false">IF(B602="","",ROW()-3)</f>
        <v/>
      </c>
      <c r="B602" s="38"/>
      <c r="C602" s="39"/>
      <c r="D602" s="39"/>
      <c r="E602" s="39"/>
      <c r="F602" s="39"/>
      <c r="G602" s="40"/>
      <c r="H602" s="39"/>
      <c r="I602" s="40" t="n">
        <f aca="false">IF(F602="",0,F602*G602)</f>
        <v>0</v>
      </c>
      <c r="J602" s="39"/>
      <c r="K602" s="39"/>
      <c r="L602" s="39"/>
      <c r="M602" s="39"/>
      <c r="N602" s="40" t="str">
        <f aca="false">IF(AND(M602&lt;&gt;"",F602&lt;&gt;""),F602*M602,"")</f>
        <v/>
      </c>
    </row>
    <row r="603" customFormat="false" ht="15" hidden="false" customHeight="false" outlineLevel="0" collapsed="false">
      <c r="A603" s="41" t="str">
        <f aca="false">IF(B603="","",ROW()-3)</f>
        <v/>
      </c>
      <c r="B603" s="42"/>
      <c r="C603" s="43"/>
      <c r="G603" s="44"/>
      <c r="H603" s="43"/>
      <c r="I603" s="44" t="n">
        <f aca="false">IF(F603="",0,F603*G603)</f>
        <v>0</v>
      </c>
      <c r="N603" s="44" t="str">
        <f aca="false">IF(AND(M603&lt;&gt;"",F603&lt;&gt;""),F603*M603,"")</f>
        <v/>
      </c>
    </row>
    <row r="604" customFormat="false" ht="15" hidden="false" customHeight="false" outlineLevel="0" collapsed="false">
      <c r="A604" s="37" t="str">
        <f aca="false">IF(B604="","",ROW()-3)</f>
        <v/>
      </c>
      <c r="B604" s="38"/>
      <c r="C604" s="39"/>
      <c r="D604" s="39"/>
      <c r="E604" s="39"/>
      <c r="F604" s="39"/>
      <c r="G604" s="40"/>
      <c r="H604" s="39"/>
      <c r="I604" s="40" t="n">
        <f aca="false">IF(F604="",0,F604*G604)</f>
        <v>0</v>
      </c>
      <c r="J604" s="39"/>
      <c r="K604" s="39"/>
      <c r="L604" s="39"/>
      <c r="M604" s="39"/>
      <c r="N604" s="40" t="str">
        <f aca="false">IF(AND(M604&lt;&gt;"",F604&lt;&gt;""),F604*M604,"")</f>
        <v/>
      </c>
    </row>
    <row r="605" customFormat="false" ht="15" hidden="false" customHeight="false" outlineLevel="0" collapsed="false">
      <c r="A605" s="41" t="str">
        <f aca="false">IF(B605="","",ROW()-3)</f>
        <v/>
      </c>
      <c r="B605" s="42"/>
      <c r="C605" s="43"/>
      <c r="G605" s="44"/>
      <c r="H605" s="43"/>
      <c r="I605" s="44" t="n">
        <f aca="false">IF(F605="",0,F605*G605)</f>
        <v>0</v>
      </c>
      <c r="N605" s="44" t="str">
        <f aca="false">IF(AND(M605&lt;&gt;"",F605&lt;&gt;""),F605*M605,"")</f>
        <v/>
      </c>
    </row>
    <row r="606" customFormat="false" ht="15" hidden="false" customHeight="false" outlineLevel="0" collapsed="false">
      <c r="A606" s="37" t="str">
        <f aca="false">IF(B606="","",ROW()-3)</f>
        <v/>
      </c>
      <c r="B606" s="38"/>
      <c r="C606" s="39"/>
      <c r="D606" s="39"/>
      <c r="E606" s="39"/>
      <c r="F606" s="39"/>
      <c r="G606" s="40"/>
      <c r="H606" s="39"/>
      <c r="I606" s="40" t="n">
        <f aca="false">IF(F606="",0,F606*G606)</f>
        <v>0</v>
      </c>
      <c r="J606" s="39"/>
      <c r="K606" s="39"/>
      <c r="L606" s="39"/>
      <c r="M606" s="39"/>
      <c r="N606" s="40" t="str">
        <f aca="false">IF(AND(M606&lt;&gt;"",F606&lt;&gt;""),F606*M606,"")</f>
        <v/>
      </c>
    </row>
    <row r="607" customFormat="false" ht="15" hidden="false" customHeight="false" outlineLevel="0" collapsed="false">
      <c r="A607" s="41" t="str">
        <f aca="false">IF(B607="","",ROW()-3)</f>
        <v/>
      </c>
      <c r="B607" s="42"/>
      <c r="C607" s="43"/>
      <c r="G607" s="44"/>
      <c r="H607" s="43"/>
      <c r="I607" s="44" t="n">
        <f aca="false">IF(F607="",0,F607*G607)</f>
        <v>0</v>
      </c>
      <c r="N607" s="44" t="str">
        <f aca="false">IF(AND(M607&lt;&gt;"",F607&lt;&gt;""),F607*M607,"")</f>
        <v/>
      </c>
    </row>
    <row r="608" customFormat="false" ht="15" hidden="false" customHeight="false" outlineLevel="0" collapsed="false">
      <c r="A608" s="37" t="str">
        <f aca="false">IF(B608="","",ROW()-3)</f>
        <v/>
      </c>
      <c r="B608" s="38"/>
      <c r="C608" s="39"/>
      <c r="D608" s="39"/>
      <c r="E608" s="39"/>
      <c r="F608" s="39"/>
      <c r="G608" s="40"/>
      <c r="H608" s="39"/>
      <c r="I608" s="40" t="n">
        <f aca="false">IF(F608="",0,F608*G608)</f>
        <v>0</v>
      </c>
      <c r="J608" s="39"/>
      <c r="K608" s="39"/>
      <c r="L608" s="39"/>
      <c r="M608" s="39"/>
      <c r="N608" s="40" t="str">
        <f aca="false">IF(AND(M608&lt;&gt;"",F608&lt;&gt;""),F608*M608,"")</f>
        <v/>
      </c>
    </row>
    <row r="609" customFormat="false" ht="15" hidden="false" customHeight="false" outlineLevel="0" collapsed="false">
      <c r="A609" s="41" t="str">
        <f aca="false">IF(B609="","",ROW()-3)</f>
        <v/>
      </c>
      <c r="B609" s="42"/>
      <c r="C609" s="43"/>
      <c r="G609" s="44"/>
      <c r="H609" s="43"/>
      <c r="I609" s="44" t="n">
        <f aca="false">IF(F609="",0,F609*G609)</f>
        <v>0</v>
      </c>
      <c r="N609" s="44" t="str">
        <f aca="false">IF(AND(M609&lt;&gt;"",F609&lt;&gt;""),F609*M609,"")</f>
        <v/>
      </c>
    </row>
    <row r="610" customFormat="false" ht="15" hidden="false" customHeight="false" outlineLevel="0" collapsed="false">
      <c r="A610" s="37" t="str">
        <f aca="false">IF(B610="","",ROW()-3)</f>
        <v/>
      </c>
      <c r="B610" s="38"/>
      <c r="C610" s="39"/>
      <c r="D610" s="39"/>
      <c r="E610" s="39"/>
      <c r="F610" s="39"/>
      <c r="G610" s="40"/>
      <c r="H610" s="39"/>
      <c r="I610" s="40" t="n">
        <f aca="false">IF(F610="",0,F610*G610)</f>
        <v>0</v>
      </c>
      <c r="J610" s="39"/>
      <c r="K610" s="39"/>
      <c r="L610" s="39"/>
      <c r="M610" s="39"/>
      <c r="N610" s="40" t="str">
        <f aca="false">IF(AND(M610&lt;&gt;"",F610&lt;&gt;""),F610*M610,"")</f>
        <v/>
      </c>
    </row>
    <row r="611" customFormat="false" ht="15" hidden="false" customHeight="false" outlineLevel="0" collapsed="false">
      <c r="A611" s="41" t="str">
        <f aca="false">IF(B611="","",ROW()-3)</f>
        <v/>
      </c>
      <c r="B611" s="42"/>
      <c r="C611" s="43"/>
      <c r="G611" s="44"/>
      <c r="H611" s="43"/>
      <c r="I611" s="44" t="n">
        <f aca="false">IF(F611="",0,F611*G611)</f>
        <v>0</v>
      </c>
      <c r="N611" s="44" t="str">
        <f aca="false">IF(AND(M611&lt;&gt;"",F611&lt;&gt;""),F611*M611,"")</f>
        <v/>
      </c>
    </row>
    <row r="612" customFormat="false" ht="15" hidden="false" customHeight="false" outlineLevel="0" collapsed="false">
      <c r="A612" s="37" t="str">
        <f aca="false">IF(B612="","",ROW()-3)</f>
        <v/>
      </c>
      <c r="B612" s="38"/>
      <c r="C612" s="39"/>
      <c r="D612" s="39"/>
      <c r="E612" s="39"/>
      <c r="F612" s="39"/>
      <c r="G612" s="40"/>
      <c r="H612" s="39"/>
      <c r="I612" s="40" t="n">
        <f aca="false">IF(F612="",0,F612*G612)</f>
        <v>0</v>
      </c>
      <c r="J612" s="39"/>
      <c r="K612" s="39"/>
      <c r="L612" s="39"/>
      <c r="M612" s="39"/>
      <c r="N612" s="40" t="str">
        <f aca="false">IF(AND(M612&lt;&gt;"",F612&lt;&gt;""),F612*M612,"")</f>
        <v/>
      </c>
    </row>
    <row r="613" customFormat="false" ht="15" hidden="false" customHeight="false" outlineLevel="0" collapsed="false">
      <c r="A613" s="41" t="str">
        <f aca="false">IF(B613="","",ROW()-3)</f>
        <v/>
      </c>
      <c r="B613" s="42"/>
      <c r="C613" s="43"/>
      <c r="G613" s="44"/>
      <c r="H613" s="43"/>
      <c r="I613" s="44" t="n">
        <f aca="false">IF(F613="",0,F613*G613)</f>
        <v>0</v>
      </c>
      <c r="N613" s="44" t="str">
        <f aca="false">IF(AND(M613&lt;&gt;"",F613&lt;&gt;""),F613*M613,"")</f>
        <v/>
      </c>
    </row>
    <row r="614" customFormat="false" ht="15" hidden="false" customHeight="false" outlineLevel="0" collapsed="false">
      <c r="A614" s="37" t="str">
        <f aca="false">IF(B614="","",ROW()-3)</f>
        <v/>
      </c>
      <c r="B614" s="38"/>
      <c r="C614" s="39"/>
      <c r="D614" s="39"/>
      <c r="E614" s="39"/>
      <c r="F614" s="39"/>
      <c r="G614" s="40"/>
      <c r="H614" s="39"/>
      <c r="I614" s="40" t="n">
        <f aca="false">IF(F614="",0,F614*G614)</f>
        <v>0</v>
      </c>
      <c r="J614" s="39"/>
      <c r="K614" s="39"/>
      <c r="L614" s="39"/>
      <c r="M614" s="39"/>
      <c r="N614" s="40" t="str">
        <f aca="false">IF(AND(M614&lt;&gt;"",F614&lt;&gt;""),F614*M614,"")</f>
        <v/>
      </c>
    </row>
    <row r="615" customFormat="false" ht="15" hidden="false" customHeight="false" outlineLevel="0" collapsed="false">
      <c r="A615" s="41" t="str">
        <f aca="false">IF(B615="","",ROW()-3)</f>
        <v/>
      </c>
      <c r="B615" s="42"/>
      <c r="C615" s="43"/>
      <c r="G615" s="44"/>
      <c r="H615" s="43"/>
      <c r="I615" s="44" t="n">
        <f aca="false">IF(F615="",0,F615*G615)</f>
        <v>0</v>
      </c>
      <c r="N615" s="44" t="str">
        <f aca="false">IF(AND(M615&lt;&gt;"",F615&lt;&gt;""),F615*M615,"")</f>
        <v/>
      </c>
    </row>
    <row r="616" customFormat="false" ht="15" hidden="false" customHeight="false" outlineLevel="0" collapsed="false">
      <c r="A616" s="37" t="str">
        <f aca="false">IF(B616="","",ROW()-3)</f>
        <v/>
      </c>
      <c r="B616" s="38"/>
      <c r="C616" s="39"/>
      <c r="D616" s="39"/>
      <c r="E616" s="39"/>
      <c r="F616" s="39"/>
      <c r="G616" s="40"/>
      <c r="H616" s="39"/>
      <c r="I616" s="40" t="n">
        <f aca="false">IF(F616="",0,F616*G616)</f>
        <v>0</v>
      </c>
      <c r="J616" s="39"/>
      <c r="K616" s="39"/>
      <c r="L616" s="39"/>
      <c r="M616" s="39"/>
      <c r="N616" s="40" t="str">
        <f aca="false">IF(AND(M616&lt;&gt;"",F616&lt;&gt;""),F616*M616,"")</f>
        <v/>
      </c>
    </row>
    <row r="617" customFormat="false" ht="15" hidden="false" customHeight="false" outlineLevel="0" collapsed="false">
      <c r="A617" s="41" t="str">
        <f aca="false">IF(B617="","",ROW()-3)</f>
        <v/>
      </c>
      <c r="B617" s="42"/>
      <c r="C617" s="43"/>
      <c r="G617" s="44"/>
      <c r="H617" s="43"/>
      <c r="I617" s="44" t="n">
        <f aca="false">IF(F617="",0,F617*G617)</f>
        <v>0</v>
      </c>
      <c r="N617" s="44" t="str">
        <f aca="false">IF(AND(M617&lt;&gt;"",F617&lt;&gt;""),F617*M617,"")</f>
        <v/>
      </c>
    </row>
    <row r="618" customFormat="false" ht="15" hidden="false" customHeight="false" outlineLevel="0" collapsed="false">
      <c r="A618" s="37" t="str">
        <f aca="false">IF(B618="","",ROW()-3)</f>
        <v/>
      </c>
      <c r="B618" s="38"/>
      <c r="C618" s="39"/>
      <c r="D618" s="39"/>
      <c r="E618" s="39"/>
      <c r="F618" s="39"/>
      <c r="G618" s="40"/>
      <c r="H618" s="39"/>
      <c r="I618" s="40" t="n">
        <f aca="false">IF(F618="",0,F618*G618)</f>
        <v>0</v>
      </c>
      <c r="J618" s="39"/>
      <c r="K618" s="39"/>
      <c r="L618" s="39"/>
      <c r="M618" s="39"/>
      <c r="N618" s="40" t="str">
        <f aca="false">IF(AND(M618&lt;&gt;"",F618&lt;&gt;""),F618*M618,"")</f>
        <v/>
      </c>
    </row>
    <row r="619" customFormat="false" ht="15" hidden="false" customHeight="false" outlineLevel="0" collapsed="false">
      <c r="A619" s="41" t="str">
        <f aca="false">IF(B619="","",ROW()-3)</f>
        <v/>
      </c>
      <c r="B619" s="42"/>
      <c r="C619" s="43"/>
      <c r="G619" s="44"/>
      <c r="H619" s="43"/>
      <c r="I619" s="44" t="n">
        <f aca="false">IF(F619="",0,F619*G619)</f>
        <v>0</v>
      </c>
      <c r="N619" s="44" t="str">
        <f aca="false">IF(AND(M619&lt;&gt;"",F619&lt;&gt;""),F619*M619,"")</f>
        <v/>
      </c>
    </row>
    <row r="620" customFormat="false" ht="15" hidden="false" customHeight="false" outlineLevel="0" collapsed="false">
      <c r="A620" s="37" t="str">
        <f aca="false">IF(B620="","",ROW()-3)</f>
        <v/>
      </c>
      <c r="B620" s="38"/>
      <c r="C620" s="39"/>
      <c r="D620" s="39"/>
      <c r="E620" s="39"/>
      <c r="F620" s="39"/>
      <c r="G620" s="40"/>
      <c r="H620" s="39"/>
      <c r="I620" s="40" t="n">
        <f aca="false">IF(F620="",0,F620*G620)</f>
        <v>0</v>
      </c>
      <c r="J620" s="39"/>
      <c r="K620" s="39"/>
      <c r="L620" s="39"/>
      <c r="M620" s="39"/>
      <c r="N620" s="40" t="str">
        <f aca="false">IF(AND(M620&lt;&gt;"",F620&lt;&gt;""),F620*M620,"")</f>
        <v/>
      </c>
    </row>
    <row r="621" customFormat="false" ht="15" hidden="false" customHeight="false" outlineLevel="0" collapsed="false">
      <c r="A621" s="41" t="str">
        <f aca="false">IF(B621="","",ROW()-3)</f>
        <v/>
      </c>
      <c r="B621" s="42"/>
      <c r="C621" s="43"/>
      <c r="G621" s="44"/>
      <c r="H621" s="43"/>
      <c r="I621" s="44" t="n">
        <f aca="false">IF(F621="",0,F621*G621)</f>
        <v>0</v>
      </c>
      <c r="N621" s="44" t="str">
        <f aca="false">IF(AND(M621&lt;&gt;"",F621&lt;&gt;""),F621*M621,"")</f>
        <v/>
      </c>
    </row>
    <row r="622" customFormat="false" ht="15" hidden="false" customHeight="false" outlineLevel="0" collapsed="false">
      <c r="A622" s="37" t="str">
        <f aca="false">IF(B622="","",ROW()-3)</f>
        <v/>
      </c>
      <c r="B622" s="38"/>
      <c r="C622" s="39"/>
      <c r="D622" s="39"/>
      <c r="E622" s="39"/>
      <c r="F622" s="39"/>
      <c r="G622" s="40"/>
      <c r="H622" s="39"/>
      <c r="I622" s="40" t="n">
        <f aca="false">IF(F622="",0,F622*G622)</f>
        <v>0</v>
      </c>
      <c r="J622" s="39"/>
      <c r="K622" s="39"/>
      <c r="L622" s="39"/>
      <c r="M622" s="39"/>
      <c r="N622" s="40" t="str">
        <f aca="false">IF(AND(M622&lt;&gt;"",F622&lt;&gt;""),F622*M622,"")</f>
        <v/>
      </c>
    </row>
    <row r="623" customFormat="false" ht="15" hidden="false" customHeight="false" outlineLevel="0" collapsed="false">
      <c r="A623" s="41" t="str">
        <f aca="false">IF(B623="","",ROW()-3)</f>
        <v/>
      </c>
      <c r="B623" s="42"/>
      <c r="C623" s="43"/>
      <c r="G623" s="44"/>
      <c r="H623" s="43"/>
      <c r="I623" s="44" t="n">
        <f aca="false">IF(F623="",0,F623*G623)</f>
        <v>0</v>
      </c>
      <c r="N623" s="44" t="str">
        <f aca="false">IF(AND(M623&lt;&gt;"",F623&lt;&gt;""),F623*M623,"")</f>
        <v/>
      </c>
    </row>
    <row r="624" customFormat="false" ht="15" hidden="false" customHeight="false" outlineLevel="0" collapsed="false">
      <c r="A624" s="37" t="str">
        <f aca="false">IF(B624="","",ROW()-3)</f>
        <v/>
      </c>
      <c r="B624" s="38"/>
      <c r="C624" s="39"/>
      <c r="D624" s="39"/>
      <c r="E624" s="39"/>
      <c r="F624" s="39"/>
      <c r="G624" s="40"/>
      <c r="H624" s="39"/>
      <c r="I624" s="40" t="n">
        <f aca="false">IF(F624="",0,F624*G624)</f>
        <v>0</v>
      </c>
      <c r="J624" s="39"/>
      <c r="K624" s="39"/>
      <c r="L624" s="39"/>
      <c r="M624" s="39"/>
      <c r="N624" s="40" t="str">
        <f aca="false">IF(AND(M624&lt;&gt;"",F624&lt;&gt;""),F624*M624,"")</f>
        <v/>
      </c>
    </row>
    <row r="625" customFormat="false" ht="15" hidden="false" customHeight="false" outlineLevel="0" collapsed="false">
      <c r="A625" s="41" t="str">
        <f aca="false">IF(B625="","",ROW()-3)</f>
        <v/>
      </c>
      <c r="B625" s="42"/>
      <c r="C625" s="43"/>
      <c r="G625" s="44"/>
      <c r="H625" s="43"/>
      <c r="I625" s="44" t="n">
        <f aca="false">IF(F625="",0,F625*G625)</f>
        <v>0</v>
      </c>
      <c r="N625" s="44" t="str">
        <f aca="false">IF(AND(M625&lt;&gt;"",F625&lt;&gt;""),F625*M625,"")</f>
        <v/>
      </c>
    </row>
    <row r="626" customFormat="false" ht="15" hidden="false" customHeight="false" outlineLevel="0" collapsed="false">
      <c r="A626" s="37" t="str">
        <f aca="false">IF(B626="","",ROW()-3)</f>
        <v/>
      </c>
      <c r="B626" s="38"/>
      <c r="C626" s="39"/>
      <c r="D626" s="39"/>
      <c r="E626" s="39"/>
      <c r="F626" s="39"/>
      <c r="G626" s="40"/>
      <c r="H626" s="39"/>
      <c r="I626" s="40" t="n">
        <f aca="false">IF(F626="",0,F626*G626)</f>
        <v>0</v>
      </c>
      <c r="J626" s="39"/>
      <c r="K626" s="39"/>
      <c r="L626" s="39"/>
      <c r="M626" s="39"/>
      <c r="N626" s="40" t="str">
        <f aca="false">IF(AND(M626&lt;&gt;"",F626&lt;&gt;""),F626*M626,"")</f>
        <v/>
      </c>
    </row>
    <row r="627" customFormat="false" ht="15" hidden="false" customHeight="false" outlineLevel="0" collapsed="false">
      <c r="A627" s="41" t="str">
        <f aca="false">IF(B627="","",ROW()-3)</f>
        <v/>
      </c>
      <c r="B627" s="42"/>
      <c r="C627" s="43"/>
      <c r="G627" s="44"/>
      <c r="H627" s="43"/>
      <c r="I627" s="44" t="n">
        <f aca="false">IF(F627="",0,F627*G627)</f>
        <v>0</v>
      </c>
      <c r="N627" s="44" t="str">
        <f aca="false">IF(AND(M627&lt;&gt;"",F627&lt;&gt;""),F627*M627,"")</f>
        <v/>
      </c>
    </row>
    <row r="628" customFormat="false" ht="15" hidden="false" customHeight="false" outlineLevel="0" collapsed="false">
      <c r="A628" s="37" t="str">
        <f aca="false">IF(B628="","",ROW()-3)</f>
        <v/>
      </c>
      <c r="B628" s="38"/>
      <c r="C628" s="39"/>
      <c r="D628" s="39"/>
      <c r="E628" s="39"/>
      <c r="F628" s="39"/>
      <c r="G628" s="40"/>
      <c r="H628" s="39"/>
      <c r="I628" s="40" t="n">
        <f aca="false">IF(F628="",0,F628*G628)</f>
        <v>0</v>
      </c>
      <c r="J628" s="39"/>
      <c r="K628" s="39"/>
      <c r="L628" s="39"/>
      <c r="M628" s="39"/>
      <c r="N628" s="40" t="str">
        <f aca="false">IF(AND(M628&lt;&gt;"",F628&lt;&gt;""),F628*M628,"")</f>
        <v/>
      </c>
    </row>
    <row r="629" customFormat="false" ht="15" hidden="false" customHeight="false" outlineLevel="0" collapsed="false">
      <c r="A629" s="41" t="str">
        <f aca="false">IF(B629="","",ROW()-3)</f>
        <v/>
      </c>
      <c r="B629" s="42"/>
      <c r="C629" s="43"/>
      <c r="G629" s="44"/>
      <c r="H629" s="43"/>
      <c r="I629" s="44" t="n">
        <f aca="false">IF(F629="",0,F629*G629)</f>
        <v>0</v>
      </c>
      <c r="N629" s="44" t="str">
        <f aca="false">IF(AND(M629&lt;&gt;"",F629&lt;&gt;""),F629*M629,"")</f>
        <v/>
      </c>
    </row>
    <row r="630" customFormat="false" ht="15" hidden="false" customHeight="false" outlineLevel="0" collapsed="false">
      <c r="A630" s="37" t="str">
        <f aca="false">IF(B630="","",ROW()-3)</f>
        <v/>
      </c>
      <c r="B630" s="38"/>
      <c r="C630" s="39"/>
      <c r="D630" s="39"/>
      <c r="E630" s="39"/>
      <c r="F630" s="39"/>
      <c r="G630" s="40"/>
      <c r="H630" s="39"/>
      <c r="I630" s="40" t="n">
        <f aca="false">IF(F630="",0,F630*G630)</f>
        <v>0</v>
      </c>
      <c r="J630" s="39"/>
      <c r="K630" s="39"/>
      <c r="L630" s="39"/>
      <c r="M630" s="39"/>
      <c r="N630" s="40" t="str">
        <f aca="false">IF(AND(M630&lt;&gt;"",F630&lt;&gt;""),F630*M630,"")</f>
        <v/>
      </c>
    </row>
    <row r="631" customFormat="false" ht="15" hidden="false" customHeight="false" outlineLevel="0" collapsed="false">
      <c r="A631" s="41" t="str">
        <f aca="false">IF(B631="","",ROW()-3)</f>
        <v/>
      </c>
      <c r="B631" s="42"/>
      <c r="C631" s="43"/>
      <c r="G631" s="44"/>
      <c r="H631" s="43"/>
      <c r="I631" s="44" t="n">
        <f aca="false">IF(F631="",0,F631*G631)</f>
        <v>0</v>
      </c>
      <c r="N631" s="44" t="str">
        <f aca="false">IF(AND(M631&lt;&gt;"",F631&lt;&gt;""),F631*M631,"")</f>
        <v/>
      </c>
    </row>
    <row r="632" customFormat="false" ht="15" hidden="false" customHeight="false" outlineLevel="0" collapsed="false">
      <c r="A632" s="37" t="str">
        <f aca="false">IF(B632="","",ROW()-3)</f>
        <v/>
      </c>
      <c r="B632" s="38"/>
      <c r="C632" s="39"/>
      <c r="D632" s="39"/>
      <c r="E632" s="39"/>
      <c r="F632" s="39"/>
      <c r="G632" s="40"/>
      <c r="H632" s="39"/>
      <c r="I632" s="40" t="n">
        <f aca="false">IF(F632="",0,F632*G632)</f>
        <v>0</v>
      </c>
      <c r="J632" s="39"/>
      <c r="K632" s="39"/>
      <c r="L632" s="39"/>
      <c r="M632" s="39"/>
      <c r="N632" s="40" t="str">
        <f aca="false">IF(AND(M632&lt;&gt;"",F632&lt;&gt;""),F632*M632,"")</f>
        <v/>
      </c>
    </row>
    <row r="633" customFormat="false" ht="15" hidden="false" customHeight="false" outlineLevel="0" collapsed="false">
      <c r="A633" s="41" t="str">
        <f aca="false">IF(B633="","",ROW()-3)</f>
        <v/>
      </c>
      <c r="B633" s="42"/>
      <c r="C633" s="43"/>
      <c r="G633" s="44"/>
      <c r="H633" s="43"/>
      <c r="I633" s="44" t="n">
        <f aca="false">IF(F633="",0,F633*G633)</f>
        <v>0</v>
      </c>
      <c r="N633" s="44" t="str">
        <f aca="false">IF(AND(M633&lt;&gt;"",F633&lt;&gt;""),F633*M633,"")</f>
        <v/>
      </c>
    </row>
    <row r="634" customFormat="false" ht="15" hidden="false" customHeight="false" outlineLevel="0" collapsed="false">
      <c r="A634" s="37" t="str">
        <f aca="false">IF(B634="","",ROW()-3)</f>
        <v/>
      </c>
      <c r="B634" s="38"/>
      <c r="C634" s="39"/>
      <c r="D634" s="39"/>
      <c r="E634" s="39"/>
      <c r="F634" s="39"/>
      <c r="G634" s="40"/>
      <c r="H634" s="39"/>
      <c r="I634" s="40" t="n">
        <f aca="false">IF(F634="",0,F634*G634)</f>
        <v>0</v>
      </c>
      <c r="J634" s="39"/>
      <c r="K634" s="39"/>
      <c r="L634" s="39"/>
      <c r="M634" s="39"/>
      <c r="N634" s="40" t="str">
        <f aca="false">IF(AND(M634&lt;&gt;"",F634&lt;&gt;""),F634*M634,"")</f>
        <v/>
      </c>
    </row>
    <row r="635" customFormat="false" ht="15" hidden="false" customHeight="false" outlineLevel="0" collapsed="false">
      <c r="A635" s="41" t="str">
        <f aca="false">IF(B635="","",ROW()-3)</f>
        <v/>
      </c>
      <c r="B635" s="42"/>
      <c r="C635" s="43"/>
      <c r="G635" s="44"/>
      <c r="H635" s="43"/>
      <c r="I635" s="44" t="n">
        <f aca="false">IF(F635="",0,F635*G635)</f>
        <v>0</v>
      </c>
      <c r="N635" s="44" t="str">
        <f aca="false">IF(AND(M635&lt;&gt;"",F635&lt;&gt;""),F635*M635,"")</f>
        <v/>
      </c>
    </row>
    <row r="636" customFormat="false" ht="15" hidden="false" customHeight="false" outlineLevel="0" collapsed="false">
      <c r="A636" s="37" t="str">
        <f aca="false">IF(B636="","",ROW()-3)</f>
        <v/>
      </c>
      <c r="B636" s="38"/>
      <c r="C636" s="39"/>
      <c r="D636" s="39"/>
      <c r="E636" s="39"/>
      <c r="F636" s="39"/>
      <c r="G636" s="40"/>
      <c r="H636" s="39"/>
      <c r="I636" s="40" t="n">
        <f aca="false">IF(F636="",0,F636*G636)</f>
        <v>0</v>
      </c>
      <c r="J636" s="39"/>
      <c r="K636" s="39"/>
      <c r="L636" s="39"/>
      <c r="M636" s="39"/>
      <c r="N636" s="40" t="str">
        <f aca="false">IF(AND(M636&lt;&gt;"",F636&lt;&gt;""),F636*M636,"")</f>
        <v/>
      </c>
    </row>
    <row r="637" customFormat="false" ht="15" hidden="false" customHeight="false" outlineLevel="0" collapsed="false">
      <c r="A637" s="41" t="str">
        <f aca="false">IF(B637="","",ROW()-3)</f>
        <v/>
      </c>
      <c r="B637" s="42"/>
      <c r="C637" s="43"/>
      <c r="G637" s="44"/>
      <c r="H637" s="43"/>
      <c r="I637" s="44" t="n">
        <f aca="false">IF(F637="",0,F637*G637)</f>
        <v>0</v>
      </c>
      <c r="N637" s="44" t="str">
        <f aca="false">IF(AND(M637&lt;&gt;"",F637&lt;&gt;""),F637*M637,"")</f>
        <v/>
      </c>
    </row>
    <row r="638" customFormat="false" ht="15" hidden="false" customHeight="false" outlineLevel="0" collapsed="false">
      <c r="A638" s="37" t="str">
        <f aca="false">IF(B638="","",ROW()-3)</f>
        <v/>
      </c>
      <c r="B638" s="38"/>
      <c r="C638" s="39"/>
      <c r="D638" s="39"/>
      <c r="E638" s="39"/>
      <c r="F638" s="39"/>
      <c r="G638" s="40"/>
      <c r="H638" s="39"/>
      <c r="I638" s="40" t="n">
        <f aca="false">IF(F638="",0,F638*G638)</f>
        <v>0</v>
      </c>
      <c r="J638" s="39"/>
      <c r="K638" s="39"/>
      <c r="L638" s="39"/>
      <c r="M638" s="39"/>
      <c r="N638" s="40" t="str">
        <f aca="false">IF(AND(M638&lt;&gt;"",F638&lt;&gt;""),F638*M638,"")</f>
        <v/>
      </c>
    </row>
    <row r="639" customFormat="false" ht="15" hidden="false" customHeight="false" outlineLevel="0" collapsed="false">
      <c r="A639" s="41" t="str">
        <f aca="false">IF(B639="","",ROW()-3)</f>
        <v/>
      </c>
      <c r="B639" s="42"/>
      <c r="C639" s="43"/>
      <c r="G639" s="44"/>
      <c r="H639" s="43"/>
      <c r="I639" s="44" t="n">
        <f aca="false">IF(F639="",0,F639*G639)</f>
        <v>0</v>
      </c>
      <c r="N639" s="44" t="str">
        <f aca="false">IF(AND(M639&lt;&gt;"",F639&lt;&gt;""),F639*M639,"")</f>
        <v/>
      </c>
    </row>
    <row r="640" customFormat="false" ht="15" hidden="false" customHeight="false" outlineLevel="0" collapsed="false">
      <c r="A640" s="37" t="str">
        <f aca="false">IF(B640="","",ROW()-3)</f>
        <v/>
      </c>
      <c r="B640" s="38"/>
      <c r="C640" s="39"/>
      <c r="D640" s="39"/>
      <c r="E640" s="39"/>
      <c r="F640" s="39"/>
      <c r="G640" s="40"/>
      <c r="H640" s="39"/>
      <c r="I640" s="40" t="n">
        <f aca="false">IF(F640="",0,F640*G640)</f>
        <v>0</v>
      </c>
      <c r="J640" s="39"/>
      <c r="K640" s="39"/>
      <c r="L640" s="39"/>
      <c r="M640" s="39"/>
      <c r="N640" s="40" t="str">
        <f aca="false">IF(AND(M640&lt;&gt;"",F640&lt;&gt;""),F640*M640,"")</f>
        <v/>
      </c>
    </row>
    <row r="641" customFormat="false" ht="15" hidden="false" customHeight="false" outlineLevel="0" collapsed="false">
      <c r="A641" s="41" t="str">
        <f aca="false">IF(B641="","",ROW()-3)</f>
        <v/>
      </c>
      <c r="B641" s="42"/>
      <c r="C641" s="43"/>
      <c r="G641" s="44"/>
      <c r="H641" s="43"/>
      <c r="I641" s="44" t="n">
        <f aca="false">IF(F641="",0,F641*G641)</f>
        <v>0</v>
      </c>
      <c r="N641" s="44" t="str">
        <f aca="false">IF(AND(M641&lt;&gt;"",F641&lt;&gt;""),F641*M641,"")</f>
        <v/>
      </c>
    </row>
    <row r="642" customFormat="false" ht="15" hidden="false" customHeight="false" outlineLevel="0" collapsed="false">
      <c r="A642" s="37" t="str">
        <f aca="false">IF(B642="","",ROW()-3)</f>
        <v/>
      </c>
      <c r="B642" s="38"/>
      <c r="C642" s="39"/>
      <c r="D642" s="39"/>
      <c r="E642" s="39"/>
      <c r="F642" s="39"/>
      <c r="G642" s="40"/>
      <c r="H642" s="39"/>
      <c r="I642" s="40" t="n">
        <f aca="false">IF(F642="",0,F642*G642)</f>
        <v>0</v>
      </c>
      <c r="J642" s="39"/>
      <c r="K642" s="39"/>
      <c r="L642" s="39"/>
      <c r="M642" s="39"/>
      <c r="N642" s="40" t="str">
        <f aca="false">IF(AND(M642&lt;&gt;"",F642&lt;&gt;""),F642*M642,"")</f>
        <v/>
      </c>
    </row>
    <row r="643" customFormat="false" ht="15" hidden="false" customHeight="false" outlineLevel="0" collapsed="false">
      <c r="A643" s="41" t="str">
        <f aca="false">IF(B643="","",ROW()-3)</f>
        <v/>
      </c>
      <c r="B643" s="42"/>
      <c r="C643" s="43"/>
      <c r="G643" s="44"/>
      <c r="H643" s="43"/>
      <c r="I643" s="44" t="n">
        <f aca="false">IF(F643="",0,F643*G643)</f>
        <v>0</v>
      </c>
      <c r="N643" s="44" t="str">
        <f aca="false">IF(AND(M643&lt;&gt;"",F643&lt;&gt;""),F643*M643,"")</f>
        <v/>
      </c>
    </row>
    <row r="644" customFormat="false" ht="15" hidden="false" customHeight="false" outlineLevel="0" collapsed="false">
      <c r="A644" s="37" t="str">
        <f aca="false">IF(B644="","",ROW()-3)</f>
        <v/>
      </c>
      <c r="B644" s="38"/>
      <c r="C644" s="39"/>
      <c r="D644" s="39"/>
      <c r="E644" s="39"/>
      <c r="F644" s="39"/>
      <c r="G644" s="40"/>
      <c r="H644" s="39"/>
      <c r="I644" s="40" t="n">
        <f aca="false">IF(F644="",0,F644*G644)</f>
        <v>0</v>
      </c>
      <c r="J644" s="39"/>
      <c r="K644" s="39"/>
      <c r="L644" s="39"/>
      <c r="M644" s="39"/>
      <c r="N644" s="40" t="str">
        <f aca="false">IF(AND(M644&lt;&gt;"",F644&lt;&gt;""),F644*M644,"")</f>
        <v/>
      </c>
    </row>
    <row r="645" customFormat="false" ht="15" hidden="false" customHeight="false" outlineLevel="0" collapsed="false">
      <c r="A645" s="41" t="str">
        <f aca="false">IF(B645="","",ROW()-3)</f>
        <v/>
      </c>
      <c r="B645" s="42"/>
      <c r="C645" s="43"/>
      <c r="G645" s="44"/>
      <c r="H645" s="43"/>
      <c r="I645" s="44" t="n">
        <f aca="false">IF(F645="",0,F645*G645)</f>
        <v>0</v>
      </c>
      <c r="N645" s="44" t="str">
        <f aca="false">IF(AND(M645&lt;&gt;"",F645&lt;&gt;""),F645*M645,"")</f>
        <v/>
      </c>
    </row>
    <row r="646" customFormat="false" ht="15" hidden="false" customHeight="false" outlineLevel="0" collapsed="false">
      <c r="A646" s="37" t="str">
        <f aca="false">IF(B646="","",ROW()-3)</f>
        <v/>
      </c>
      <c r="B646" s="38"/>
      <c r="C646" s="39"/>
      <c r="D646" s="39"/>
      <c r="E646" s="39"/>
      <c r="F646" s="39"/>
      <c r="G646" s="40"/>
      <c r="H646" s="39"/>
      <c r="I646" s="40" t="n">
        <f aca="false">IF(F646="",0,F646*G646)</f>
        <v>0</v>
      </c>
      <c r="J646" s="39"/>
      <c r="K646" s="39"/>
      <c r="L646" s="39"/>
      <c r="M646" s="39"/>
      <c r="N646" s="40" t="str">
        <f aca="false">IF(AND(M646&lt;&gt;"",F646&lt;&gt;""),F646*M646,"")</f>
        <v/>
      </c>
    </row>
    <row r="647" customFormat="false" ht="15" hidden="false" customHeight="false" outlineLevel="0" collapsed="false">
      <c r="A647" s="41" t="str">
        <f aca="false">IF(B647="","",ROW()-3)</f>
        <v/>
      </c>
      <c r="B647" s="42"/>
      <c r="C647" s="43"/>
      <c r="G647" s="44"/>
      <c r="H647" s="43"/>
      <c r="I647" s="44" t="n">
        <f aca="false">IF(F647="",0,F647*G647)</f>
        <v>0</v>
      </c>
      <c r="N647" s="44" t="str">
        <f aca="false">IF(AND(M647&lt;&gt;"",F647&lt;&gt;""),F647*M647,"")</f>
        <v/>
      </c>
    </row>
    <row r="648" customFormat="false" ht="15" hidden="false" customHeight="false" outlineLevel="0" collapsed="false">
      <c r="A648" s="37" t="str">
        <f aca="false">IF(B648="","",ROW()-3)</f>
        <v/>
      </c>
      <c r="B648" s="38"/>
      <c r="C648" s="39"/>
      <c r="D648" s="39"/>
      <c r="E648" s="39"/>
      <c r="F648" s="39"/>
      <c r="G648" s="40"/>
      <c r="H648" s="39"/>
      <c r="I648" s="40" t="n">
        <f aca="false">IF(F648="",0,F648*G648)</f>
        <v>0</v>
      </c>
      <c r="J648" s="39"/>
      <c r="K648" s="39"/>
      <c r="L648" s="39"/>
      <c r="M648" s="39"/>
      <c r="N648" s="40" t="str">
        <f aca="false">IF(AND(M648&lt;&gt;"",F648&lt;&gt;""),F648*M648,"")</f>
        <v/>
      </c>
    </row>
    <row r="649" customFormat="false" ht="15" hidden="false" customHeight="false" outlineLevel="0" collapsed="false">
      <c r="A649" s="41" t="str">
        <f aca="false">IF(B649="","",ROW()-3)</f>
        <v/>
      </c>
      <c r="B649" s="42"/>
      <c r="C649" s="43"/>
      <c r="G649" s="44"/>
      <c r="H649" s="43"/>
      <c r="I649" s="44" t="n">
        <f aca="false">IF(F649="",0,F649*G649)</f>
        <v>0</v>
      </c>
      <c r="N649" s="44" t="str">
        <f aca="false">IF(AND(M649&lt;&gt;"",F649&lt;&gt;""),F649*M649,"")</f>
        <v/>
      </c>
    </row>
    <row r="650" customFormat="false" ht="15" hidden="false" customHeight="false" outlineLevel="0" collapsed="false">
      <c r="A650" s="37" t="str">
        <f aca="false">IF(B650="","",ROW()-3)</f>
        <v/>
      </c>
      <c r="B650" s="38"/>
      <c r="C650" s="39"/>
      <c r="D650" s="39"/>
      <c r="E650" s="39"/>
      <c r="F650" s="39"/>
      <c r="G650" s="40"/>
      <c r="H650" s="39"/>
      <c r="I650" s="40" t="n">
        <f aca="false">IF(F650="",0,F650*G650)</f>
        <v>0</v>
      </c>
      <c r="J650" s="39"/>
      <c r="K650" s="39"/>
      <c r="L650" s="39"/>
      <c r="M650" s="39"/>
      <c r="N650" s="40" t="str">
        <f aca="false">IF(AND(M650&lt;&gt;"",F650&lt;&gt;""),F650*M650,"")</f>
        <v/>
      </c>
    </row>
    <row r="651" customFormat="false" ht="15" hidden="false" customHeight="false" outlineLevel="0" collapsed="false">
      <c r="A651" s="41" t="str">
        <f aca="false">IF(B651="","",ROW()-3)</f>
        <v/>
      </c>
      <c r="B651" s="42"/>
      <c r="C651" s="43"/>
      <c r="G651" s="44"/>
      <c r="H651" s="43"/>
      <c r="I651" s="44" t="n">
        <f aca="false">IF(F651="",0,F651*G651)</f>
        <v>0</v>
      </c>
      <c r="N651" s="44" t="str">
        <f aca="false">IF(AND(M651&lt;&gt;"",F651&lt;&gt;""),F651*M651,"")</f>
        <v/>
      </c>
    </row>
    <row r="652" customFormat="false" ht="15" hidden="false" customHeight="false" outlineLevel="0" collapsed="false">
      <c r="A652" s="37" t="str">
        <f aca="false">IF(B652="","",ROW()-3)</f>
        <v/>
      </c>
      <c r="B652" s="38"/>
      <c r="C652" s="39"/>
      <c r="D652" s="39"/>
      <c r="E652" s="39"/>
      <c r="F652" s="39"/>
      <c r="G652" s="40"/>
      <c r="H652" s="39"/>
      <c r="I652" s="40" t="n">
        <f aca="false">IF(F652="",0,F652*G652)</f>
        <v>0</v>
      </c>
      <c r="J652" s="39"/>
      <c r="K652" s="39"/>
      <c r="L652" s="39"/>
      <c r="M652" s="39"/>
      <c r="N652" s="40" t="str">
        <f aca="false">IF(AND(M652&lt;&gt;"",F652&lt;&gt;""),F652*M652,"")</f>
        <v/>
      </c>
    </row>
    <row r="653" customFormat="false" ht="15" hidden="false" customHeight="false" outlineLevel="0" collapsed="false">
      <c r="A653" s="41" t="str">
        <f aca="false">IF(B653="","",ROW()-3)</f>
        <v/>
      </c>
      <c r="B653" s="42"/>
      <c r="C653" s="43"/>
      <c r="G653" s="44"/>
      <c r="H653" s="43"/>
      <c r="I653" s="44" t="n">
        <f aca="false">IF(F653="",0,F653*G653)</f>
        <v>0</v>
      </c>
      <c r="N653" s="44" t="str">
        <f aca="false">IF(AND(M653&lt;&gt;"",F653&lt;&gt;""),F653*M653,"")</f>
        <v/>
      </c>
    </row>
    <row r="654" customFormat="false" ht="15" hidden="false" customHeight="false" outlineLevel="0" collapsed="false">
      <c r="A654" s="37" t="str">
        <f aca="false">IF(B654="","",ROW()-3)</f>
        <v/>
      </c>
      <c r="B654" s="38"/>
      <c r="C654" s="39"/>
      <c r="D654" s="39"/>
      <c r="E654" s="39"/>
      <c r="F654" s="39"/>
      <c r="G654" s="40"/>
      <c r="H654" s="39"/>
      <c r="I654" s="40" t="n">
        <f aca="false">IF(F654="",0,F654*G654)</f>
        <v>0</v>
      </c>
      <c r="J654" s="39"/>
      <c r="K654" s="39"/>
      <c r="L654" s="39"/>
      <c r="M654" s="39"/>
      <c r="N654" s="40" t="str">
        <f aca="false">IF(AND(M654&lt;&gt;"",F654&lt;&gt;""),F654*M654,"")</f>
        <v/>
      </c>
    </row>
    <row r="655" customFormat="false" ht="15" hidden="false" customHeight="false" outlineLevel="0" collapsed="false">
      <c r="A655" s="41" t="str">
        <f aca="false">IF(B655="","",ROW()-3)</f>
        <v/>
      </c>
      <c r="B655" s="42"/>
      <c r="C655" s="43"/>
      <c r="G655" s="44"/>
      <c r="H655" s="43"/>
      <c r="I655" s="44" t="n">
        <f aca="false">IF(F655="",0,F655*G655)</f>
        <v>0</v>
      </c>
      <c r="N655" s="44" t="str">
        <f aca="false">IF(AND(M655&lt;&gt;"",F655&lt;&gt;""),F655*M655,"")</f>
        <v/>
      </c>
    </row>
    <row r="656" customFormat="false" ht="15" hidden="false" customHeight="false" outlineLevel="0" collapsed="false">
      <c r="A656" s="37" t="str">
        <f aca="false">IF(B656="","",ROW()-3)</f>
        <v/>
      </c>
      <c r="B656" s="38"/>
      <c r="C656" s="39"/>
      <c r="D656" s="39"/>
      <c r="E656" s="39"/>
      <c r="F656" s="39"/>
      <c r="G656" s="40"/>
      <c r="H656" s="39"/>
      <c r="I656" s="40" t="n">
        <f aca="false">IF(F656="",0,F656*G656)</f>
        <v>0</v>
      </c>
      <c r="J656" s="39"/>
      <c r="K656" s="39"/>
      <c r="L656" s="39"/>
      <c r="M656" s="39"/>
      <c r="N656" s="40" t="str">
        <f aca="false">IF(AND(M656&lt;&gt;"",F656&lt;&gt;""),F656*M656,"")</f>
        <v/>
      </c>
    </row>
    <row r="657" customFormat="false" ht="15" hidden="false" customHeight="false" outlineLevel="0" collapsed="false">
      <c r="A657" s="41" t="str">
        <f aca="false">IF(B657="","",ROW()-3)</f>
        <v/>
      </c>
      <c r="B657" s="42"/>
      <c r="C657" s="43"/>
      <c r="G657" s="44"/>
      <c r="H657" s="43"/>
      <c r="I657" s="44" t="n">
        <f aca="false">IF(F657="",0,F657*G657)</f>
        <v>0</v>
      </c>
      <c r="N657" s="44" t="str">
        <f aca="false">IF(AND(M657&lt;&gt;"",F657&lt;&gt;""),F657*M657,"")</f>
        <v/>
      </c>
    </row>
    <row r="658" customFormat="false" ht="15" hidden="false" customHeight="false" outlineLevel="0" collapsed="false">
      <c r="A658" s="37" t="str">
        <f aca="false">IF(B658="","",ROW()-3)</f>
        <v/>
      </c>
      <c r="B658" s="38"/>
      <c r="C658" s="39"/>
      <c r="D658" s="39"/>
      <c r="E658" s="39"/>
      <c r="F658" s="39"/>
      <c r="G658" s="40"/>
      <c r="H658" s="39"/>
      <c r="I658" s="40" t="n">
        <f aca="false">IF(F658="",0,F658*G658)</f>
        <v>0</v>
      </c>
      <c r="J658" s="39"/>
      <c r="K658" s="39"/>
      <c r="L658" s="39"/>
      <c r="M658" s="39"/>
      <c r="N658" s="40" t="str">
        <f aca="false">IF(AND(M658&lt;&gt;"",F658&lt;&gt;""),F658*M658,"")</f>
        <v/>
      </c>
    </row>
    <row r="659" customFormat="false" ht="15" hidden="false" customHeight="false" outlineLevel="0" collapsed="false">
      <c r="A659" s="41" t="str">
        <f aca="false">IF(B659="","",ROW()-3)</f>
        <v/>
      </c>
      <c r="B659" s="42"/>
      <c r="C659" s="43"/>
      <c r="G659" s="44"/>
      <c r="H659" s="43"/>
      <c r="I659" s="44" t="n">
        <f aca="false">IF(F659="",0,F659*G659)</f>
        <v>0</v>
      </c>
      <c r="N659" s="44" t="str">
        <f aca="false">IF(AND(M659&lt;&gt;"",F659&lt;&gt;""),F659*M659,"")</f>
        <v/>
      </c>
    </row>
    <row r="660" customFormat="false" ht="15" hidden="false" customHeight="false" outlineLevel="0" collapsed="false">
      <c r="A660" s="37" t="str">
        <f aca="false">IF(B660="","",ROW()-3)</f>
        <v/>
      </c>
      <c r="B660" s="38"/>
      <c r="C660" s="39"/>
      <c r="D660" s="39"/>
      <c r="E660" s="39"/>
      <c r="F660" s="39"/>
      <c r="G660" s="40"/>
      <c r="H660" s="39"/>
      <c r="I660" s="40" t="n">
        <f aca="false">IF(F660="",0,F660*G660)</f>
        <v>0</v>
      </c>
      <c r="J660" s="39"/>
      <c r="K660" s="39"/>
      <c r="L660" s="39"/>
      <c r="M660" s="39"/>
      <c r="N660" s="40" t="str">
        <f aca="false">IF(AND(M660&lt;&gt;"",F660&lt;&gt;""),F660*M660,"")</f>
        <v/>
      </c>
    </row>
    <row r="661" customFormat="false" ht="15" hidden="false" customHeight="false" outlineLevel="0" collapsed="false">
      <c r="A661" s="41" t="str">
        <f aca="false">IF(B661="","",ROW()-3)</f>
        <v/>
      </c>
      <c r="B661" s="42"/>
      <c r="C661" s="43"/>
      <c r="G661" s="44"/>
      <c r="H661" s="43"/>
      <c r="I661" s="44" t="n">
        <f aca="false">IF(F661="",0,F661*G661)</f>
        <v>0</v>
      </c>
      <c r="N661" s="44" t="str">
        <f aca="false">IF(AND(M661&lt;&gt;"",F661&lt;&gt;""),F661*M661,"")</f>
        <v/>
      </c>
    </row>
    <row r="662" customFormat="false" ht="15" hidden="false" customHeight="false" outlineLevel="0" collapsed="false">
      <c r="A662" s="37" t="str">
        <f aca="false">IF(B662="","",ROW()-3)</f>
        <v/>
      </c>
      <c r="B662" s="38"/>
      <c r="C662" s="39"/>
      <c r="D662" s="39"/>
      <c r="E662" s="39"/>
      <c r="F662" s="39"/>
      <c r="G662" s="40"/>
      <c r="H662" s="39"/>
      <c r="I662" s="40" t="n">
        <f aca="false">IF(F662="",0,F662*G662)</f>
        <v>0</v>
      </c>
      <c r="J662" s="39"/>
      <c r="K662" s="39"/>
      <c r="L662" s="39"/>
      <c r="M662" s="39"/>
      <c r="N662" s="40" t="str">
        <f aca="false">IF(AND(M662&lt;&gt;"",F662&lt;&gt;""),F662*M662,"")</f>
        <v/>
      </c>
    </row>
    <row r="663" customFormat="false" ht="15" hidden="false" customHeight="false" outlineLevel="0" collapsed="false">
      <c r="A663" s="41" t="str">
        <f aca="false">IF(B663="","",ROW()-3)</f>
        <v/>
      </c>
      <c r="B663" s="42"/>
      <c r="C663" s="43"/>
      <c r="G663" s="44"/>
      <c r="H663" s="43"/>
      <c r="I663" s="44" t="n">
        <f aca="false">IF(F663="",0,F663*G663)</f>
        <v>0</v>
      </c>
      <c r="N663" s="44" t="str">
        <f aca="false">IF(AND(M663&lt;&gt;"",F663&lt;&gt;""),F663*M663,"")</f>
        <v/>
      </c>
    </row>
    <row r="664" customFormat="false" ht="15" hidden="false" customHeight="false" outlineLevel="0" collapsed="false">
      <c r="A664" s="37" t="str">
        <f aca="false">IF(B664="","",ROW()-3)</f>
        <v/>
      </c>
      <c r="B664" s="38"/>
      <c r="C664" s="39"/>
      <c r="D664" s="39"/>
      <c r="E664" s="39"/>
      <c r="F664" s="39"/>
      <c r="G664" s="40"/>
      <c r="H664" s="39"/>
      <c r="I664" s="40" t="n">
        <f aca="false">IF(F664="",0,F664*G664)</f>
        <v>0</v>
      </c>
      <c r="J664" s="39"/>
      <c r="K664" s="39"/>
      <c r="L664" s="39"/>
      <c r="M664" s="39"/>
      <c r="N664" s="40" t="str">
        <f aca="false">IF(AND(M664&lt;&gt;"",F664&lt;&gt;""),F664*M664,"")</f>
        <v/>
      </c>
    </row>
    <row r="665" customFormat="false" ht="15" hidden="false" customHeight="false" outlineLevel="0" collapsed="false">
      <c r="A665" s="41" t="str">
        <f aca="false">IF(B665="","",ROW()-3)</f>
        <v/>
      </c>
      <c r="B665" s="42"/>
      <c r="C665" s="43"/>
      <c r="G665" s="44"/>
      <c r="H665" s="43"/>
      <c r="I665" s="44" t="n">
        <f aca="false">IF(F665="",0,F665*G665)</f>
        <v>0</v>
      </c>
      <c r="N665" s="44" t="str">
        <f aca="false">IF(AND(M665&lt;&gt;"",F665&lt;&gt;""),F665*M665,"")</f>
        <v/>
      </c>
    </row>
    <row r="666" customFormat="false" ht="15" hidden="false" customHeight="false" outlineLevel="0" collapsed="false">
      <c r="A666" s="37" t="str">
        <f aca="false">IF(B666="","",ROW()-3)</f>
        <v/>
      </c>
      <c r="B666" s="38"/>
      <c r="C666" s="39"/>
      <c r="D666" s="39"/>
      <c r="E666" s="39"/>
      <c r="F666" s="39"/>
      <c r="G666" s="40"/>
      <c r="H666" s="39"/>
      <c r="I666" s="40" t="n">
        <f aca="false">IF(F666="",0,F666*G666)</f>
        <v>0</v>
      </c>
      <c r="J666" s="39"/>
      <c r="K666" s="39"/>
      <c r="L666" s="39"/>
      <c r="M666" s="39"/>
      <c r="N666" s="40" t="str">
        <f aca="false">IF(AND(M666&lt;&gt;"",F666&lt;&gt;""),F666*M666,"")</f>
        <v/>
      </c>
    </row>
    <row r="667" customFormat="false" ht="15" hidden="false" customHeight="false" outlineLevel="0" collapsed="false">
      <c r="A667" s="41" t="str">
        <f aca="false">IF(B667="","",ROW()-3)</f>
        <v/>
      </c>
      <c r="B667" s="42"/>
      <c r="C667" s="43"/>
      <c r="G667" s="44"/>
      <c r="H667" s="43"/>
      <c r="I667" s="44" t="n">
        <f aca="false">IF(F667="",0,F667*G667)</f>
        <v>0</v>
      </c>
      <c r="N667" s="44" t="str">
        <f aca="false">IF(AND(M667&lt;&gt;"",F667&lt;&gt;""),F667*M667,"")</f>
        <v/>
      </c>
    </row>
    <row r="668" customFormat="false" ht="15" hidden="false" customHeight="false" outlineLevel="0" collapsed="false">
      <c r="A668" s="37" t="str">
        <f aca="false">IF(B668="","",ROW()-3)</f>
        <v/>
      </c>
      <c r="B668" s="38"/>
      <c r="C668" s="39"/>
      <c r="D668" s="39"/>
      <c r="E668" s="39"/>
      <c r="F668" s="39"/>
      <c r="G668" s="40"/>
      <c r="H668" s="39"/>
      <c r="I668" s="40" t="n">
        <f aca="false">IF(F668="",0,F668*G668)</f>
        <v>0</v>
      </c>
      <c r="J668" s="39"/>
      <c r="K668" s="39"/>
      <c r="L668" s="39"/>
      <c r="M668" s="39"/>
      <c r="N668" s="40" t="str">
        <f aca="false">IF(AND(M668&lt;&gt;"",F668&lt;&gt;""),F668*M668,"")</f>
        <v/>
      </c>
    </row>
    <row r="669" customFormat="false" ht="15" hidden="false" customHeight="false" outlineLevel="0" collapsed="false">
      <c r="A669" s="41" t="str">
        <f aca="false">IF(B669="","",ROW()-3)</f>
        <v/>
      </c>
      <c r="B669" s="42"/>
      <c r="C669" s="43"/>
      <c r="G669" s="44"/>
      <c r="H669" s="43"/>
      <c r="I669" s="44" t="n">
        <f aca="false">IF(F669="",0,F669*G669)</f>
        <v>0</v>
      </c>
      <c r="N669" s="44" t="str">
        <f aca="false">IF(AND(M669&lt;&gt;"",F669&lt;&gt;""),F669*M669,"")</f>
        <v/>
      </c>
    </row>
    <row r="670" customFormat="false" ht="15" hidden="false" customHeight="false" outlineLevel="0" collapsed="false">
      <c r="A670" s="37" t="str">
        <f aca="false">IF(B670="","",ROW()-3)</f>
        <v/>
      </c>
      <c r="B670" s="38"/>
      <c r="C670" s="39"/>
      <c r="D670" s="39"/>
      <c r="E670" s="39"/>
      <c r="F670" s="39"/>
      <c r="G670" s="40"/>
      <c r="H670" s="39"/>
      <c r="I670" s="40" t="n">
        <f aca="false">IF(F670="",0,F670*G670)</f>
        <v>0</v>
      </c>
      <c r="J670" s="39"/>
      <c r="K670" s="39"/>
      <c r="L670" s="39"/>
      <c r="M670" s="39"/>
      <c r="N670" s="40" t="str">
        <f aca="false">IF(AND(M670&lt;&gt;"",F670&lt;&gt;""),F670*M670,"")</f>
        <v/>
      </c>
    </row>
    <row r="671" customFormat="false" ht="15" hidden="false" customHeight="false" outlineLevel="0" collapsed="false">
      <c r="A671" s="41" t="str">
        <f aca="false">IF(B671="","",ROW()-3)</f>
        <v/>
      </c>
      <c r="B671" s="42"/>
      <c r="C671" s="43"/>
      <c r="G671" s="44"/>
      <c r="H671" s="43"/>
      <c r="I671" s="44" t="n">
        <f aca="false">IF(F671="",0,F671*G671)</f>
        <v>0</v>
      </c>
      <c r="N671" s="44" t="str">
        <f aca="false">IF(AND(M671&lt;&gt;"",F671&lt;&gt;""),F671*M671,"")</f>
        <v/>
      </c>
    </row>
    <row r="672" customFormat="false" ht="15" hidden="false" customHeight="false" outlineLevel="0" collapsed="false">
      <c r="A672" s="37" t="str">
        <f aca="false">IF(B672="","",ROW()-3)</f>
        <v/>
      </c>
      <c r="B672" s="38"/>
      <c r="C672" s="39"/>
      <c r="D672" s="39"/>
      <c r="E672" s="39"/>
      <c r="F672" s="39"/>
      <c r="G672" s="40"/>
      <c r="H672" s="39"/>
      <c r="I672" s="40" t="n">
        <f aca="false">IF(F672="",0,F672*G672)</f>
        <v>0</v>
      </c>
      <c r="J672" s="39"/>
      <c r="K672" s="39"/>
      <c r="L672" s="39"/>
      <c r="M672" s="39"/>
      <c r="N672" s="40" t="str">
        <f aca="false">IF(AND(M672&lt;&gt;"",F672&lt;&gt;""),F672*M672,"")</f>
        <v/>
      </c>
    </row>
    <row r="673" customFormat="false" ht="15" hidden="false" customHeight="false" outlineLevel="0" collapsed="false">
      <c r="A673" s="41" t="str">
        <f aca="false">IF(B673="","",ROW()-3)</f>
        <v/>
      </c>
      <c r="B673" s="42"/>
      <c r="C673" s="43"/>
      <c r="G673" s="44"/>
      <c r="H673" s="43"/>
      <c r="I673" s="44" t="n">
        <f aca="false">IF(F673="",0,F673*G673)</f>
        <v>0</v>
      </c>
      <c r="N673" s="44" t="str">
        <f aca="false">IF(AND(M673&lt;&gt;"",F673&lt;&gt;""),F673*M673,"")</f>
        <v/>
      </c>
    </row>
    <row r="674" customFormat="false" ht="15" hidden="false" customHeight="false" outlineLevel="0" collapsed="false">
      <c r="A674" s="37" t="str">
        <f aca="false">IF(B674="","",ROW()-3)</f>
        <v/>
      </c>
      <c r="B674" s="38"/>
      <c r="C674" s="39"/>
      <c r="D674" s="39"/>
      <c r="E674" s="39"/>
      <c r="F674" s="39"/>
      <c r="G674" s="40"/>
      <c r="H674" s="39"/>
      <c r="I674" s="40" t="n">
        <f aca="false">IF(F674="",0,F674*G674)</f>
        <v>0</v>
      </c>
      <c r="J674" s="39"/>
      <c r="K674" s="39"/>
      <c r="L674" s="39"/>
      <c r="M674" s="39"/>
      <c r="N674" s="40" t="str">
        <f aca="false">IF(AND(M674&lt;&gt;"",F674&lt;&gt;""),F674*M674,"")</f>
        <v/>
      </c>
    </row>
    <row r="675" customFormat="false" ht="15" hidden="false" customHeight="false" outlineLevel="0" collapsed="false">
      <c r="A675" s="41" t="str">
        <f aca="false">IF(B675="","",ROW()-3)</f>
        <v/>
      </c>
      <c r="B675" s="42"/>
      <c r="C675" s="43"/>
      <c r="G675" s="44"/>
      <c r="H675" s="43"/>
      <c r="I675" s="44" t="n">
        <f aca="false">IF(F675="",0,F675*G675)</f>
        <v>0</v>
      </c>
      <c r="N675" s="44" t="str">
        <f aca="false">IF(AND(M675&lt;&gt;"",F675&lt;&gt;""),F675*M675,"")</f>
        <v/>
      </c>
    </row>
    <row r="676" customFormat="false" ht="15" hidden="false" customHeight="false" outlineLevel="0" collapsed="false">
      <c r="A676" s="37" t="str">
        <f aca="false">IF(B676="","",ROW()-3)</f>
        <v/>
      </c>
      <c r="B676" s="38"/>
      <c r="C676" s="39"/>
      <c r="D676" s="39"/>
      <c r="E676" s="39"/>
      <c r="F676" s="39"/>
      <c r="G676" s="40"/>
      <c r="H676" s="39"/>
      <c r="I676" s="40" t="n">
        <f aca="false">IF(F676="",0,F676*G676)</f>
        <v>0</v>
      </c>
      <c r="J676" s="39"/>
      <c r="K676" s="39"/>
      <c r="L676" s="39"/>
      <c r="M676" s="39"/>
      <c r="N676" s="40" t="str">
        <f aca="false">IF(AND(M676&lt;&gt;"",F676&lt;&gt;""),F676*M676,"")</f>
        <v/>
      </c>
    </row>
    <row r="677" customFormat="false" ht="15" hidden="false" customHeight="false" outlineLevel="0" collapsed="false">
      <c r="A677" s="41" t="str">
        <f aca="false">IF(B677="","",ROW()-3)</f>
        <v/>
      </c>
      <c r="B677" s="42"/>
      <c r="C677" s="43"/>
      <c r="G677" s="44"/>
      <c r="H677" s="43"/>
      <c r="I677" s="44" t="n">
        <f aca="false">IF(F677="",0,F677*G677)</f>
        <v>0</v>
      </c>
      <c r="N677" s="44" t="str">
        <f aca="false">IF(AND(M677&lt;&gt;"",F677&lt;&gt;""),F677*M677,"")</f>
        <v/>
      </c>
    </row>
    <row r="678" customFormat="false" ht="15" hidden="false" customHeight="false" outlineLevel="0" collapsed="false">
      <c r="A678" s="37" t="str">
        <f aca="false">IF(B678="","",ROW()-3)</f>
        <v/>
      </c>
      <c r="B678" s="38"/>
      <c r="C678" s="39"/>
      <c r="D678" s="39"/>
      <c r="E678" s="39"/>
      <c r="F678" s="39"/>
      <c r="G678" s="40"/>
      <c r="H678" s="39"/>
      <c r="I678" s="40" t="n">
        <f aca="false">IF(F678="",0,F678*G678)</f>
        <v>0</v>
      </c>
      <c r="J678" s="39"/>
      <c r="K678" s="39"/>
      <c r="L678" s="39"/>
      <c r="M678" s="39"/>
      <c r="N678" s="40" t="str">
        <f aca="false">IF(AND(M678&lt;&gt;"",F678&lt;&gt;""),F678*M678,"")</f>
        <v/>
      </c>
    </row>
    <row r="679" customFormat="false" ht="15" hidden="false" customHeight="false" outlineLevel="0" collapsed="false">
      <c r="A679" s="41" t="str">
        <f aca="false">IF(B679="","",ROW()-3)</f>
        <v/>
      </c>
      <c r="B679" s="42"/>
      <c r="C679" s="43"/>
      <c r="G679" s="44"/>
      <c r="H679" s="43"/>
      <c r="I679" s="44" t="n">
        <f aca="false">IF(F679="",0,F679*G679)</f>
        <v>0</v>
      </c>
      <c r="N679" s="44" t="str">
        <f aca="false">IF(AND(M679&lt;&gt;"",F679&lt;&gt;""),F679*M679,"")</f>
        <v/>
      </c>
    </row>
    <row r="680" customFormat="false" ht="15" hidden="false" customHeight="false" outlineLevel="0" collapsed="false">
      <c r="A680" s="37" t="str">
        <f aca="false">IF(B680="","",ROW()-3)</f>
        <v/>
      </c>
      <c r="B680" s="38"/>
      <c r="C680" s="39"/>
      <c r="D680" s="39"/>
      <c r="E680" s="39"/>
      <c r="F680" s="39"/>
      <c r="G680" s="40"/>
      <c r="H680" s="39"/>
      <c r="I680" s="40" t="n">
        <f aca="false">IF(F680="",0,F680*G680)</f>
        <v>0</v>
      </c>
      <c r="J680" s="39"/>
      <c r="K680" s="39"/>
      <c r="L680" s="39"/>
      <c r="M680" s="39"/>
      <c r="N680" s="40" t="str">
        <f aca="false">IF(AND(M680&lt;&gt;"",F680&lt;&gt;""),F680*M680,"")</f>
        <v/>
      </c>
    </row>
    <row r="681" customFormat="false" ht="15" hidden="false" customHeight="false" outlineLevel="0" collapsed="false">
      <c r="A681" s="41" t="str">
        <f aca="false">IF(B681="","",ROW()-3)</f>
        <v/>
      </c>
      <c r="B681" s="42"/>
      <c r="C681" s="43"/>
      <c r="G681" s="44"/>
      <c r="H681" s="43"/>
      <c r="I681" s="44" t="n">
        <f aca="false">IF(F681="",0,F681*G681)</f>
        <v>0</v>
      </c>
      <c r="N681" s="44" t="str">
        <f aca="false">IF(AND(M681&lt;&gt;"",F681&lt;&gt;""),F681*M681,"")</f>
        <v/>
      </c>
    </row>
    <row r="682" customFormat="false" ht="15" hidden="false" customHeight="false" outlineLevel="0" collapsed="false">
      <c r="A682" s="37" t="str">
        <f aca="false">IF(B682="","",ROW()-3)</f>
        <v/>
      </c>
      <c r="B682" s="38"/>
      <c r="C682" s="39"/>
      <c r="D682" s="39"/>
      <c r="E682" s="39"/>
      <c r="F682" s="39"/>
      <c r="G682" s="40"/>
      <c r="H682" s="39"/>
      <c r="I682" s="40" t="n">
        <f aca="false">IF(F682="",0,F682*G682)</f>
        <v>0</v>
      </c>
      <c r="J682" s="39"/>
      <c r="K682" s="39"/>
      <c r="L682" s="39"/>
      <c r="M682" s="39"/>
      <c r="N682" s="40" t="str">
        <f aca="false">IF(AND(M682&lt;&gt;"",F682&lt;&gt;""),F682*M682,"")</f>
        <v/>
      </c>
    </row>
    <row r="683" customFormat="false" ht="15" hidden="false" customHeight="false" outlineLevel="0" collapsed="false">
      <c r="A683" s="41" t="str">
        <f aca="false">IF(B683="","",ROW()-3)</f>
        <v/>
      </c>
      <c r="B683" s="42"/>
      <c r="C683" s="43"/>
      <c r="G683" s="44"/>
      <c r="H683" s="43"/>
      <c r="I683" s="44" t="n">
        <f aca="false">IF(F683="",0,F683*G683)</f>
        <v>0</v>
      </c>
      <c r="N683" s="44" t="str">
        <f aca="false">IF(AND(M683&lt;&gt;"",F683&lt;&gt;""),F683*M683,"")</f>
        <v/>
      </c>
    </row>
    <row r="684" customFormat="false" ht="15" hidden="false" customHeight="false" outlineLevel="0" collapsed="false">
      <c r="A684" s="37" t="str">
        <f aca="false">IF(B684="","",ROW()-3)</f>
        <v/>
      </c>
      <c r="B684" s="38"/>
      <c r="C684" s="39"/>
      <c r="D684" s="39"/>
      <c r="E684" s="39"/>
      <c r="F684" s="39"/>
      <c r="G684" s="40"/>
      <c r="H684" s="39"/>
      <c r="I684" s="40" t="n">
        <f aca="false">IF(F684="",0,F684*G684)</f>
        <v>0</v>
      </c>
      <c r="J684" s="39"/>
      <c r="K684" s="39"/>
      <c r="L684" s="39"/>
      <c r="M684" s="39"/>
      <c r="N684" s="40" t="str">
        <f aca="false">IF(AND(M684&lt;&gt;"",F684&lt;&gt;""),F684*M684,"")</f>
        <v/>
      </c>
    </row>
    <row r="685" customFormat="false" ht="15" hidden="false" customHeight="false" outlineLevel="0" collapsed="false">
      <c r="A685" s="41" t="str">
        <f aca="false">IF(B685="","",ROW()-3)</f>
        <v/>
      </c>
      <c r="B685" s="42"/>
      <c r="C685" s="43"/>
      <c r="G685" s="44"/>
      <c r="H685" s="43"/>
      <c r="I685" s="44" t="n">
        <f aca="false">IF(F685="",0,F685*G685)</f>
        <v>0</v>
      </c>
      <c r="N685" s="44" t="str">
        <f aca="false">IF(AND(M685&lt;&gt;"",F685&lt;&gt;""),F685*M685,"")</f>
        <v/>
      </c>
    </row>
    <row r="686" customFormat="false" ht="15" hidden="false" customHeight="false" outlineLevel="0" collapsed="false">
      <c r="A686" s="37" t="str">
        <f aca="false">IF(B686="","",ROW()-3)</f>
        <v/>
      </c>
      <c r="B686" s="38"/>
      <c r="C686" s="39"/>
      <c r="D686" s="39"/>
      <c r="E686" s="39"/>
      <c r="F686" s="39"/>
      <c r="G686" s="40"/>
      <c r="H686" s="39"/>
      <c r="I686" s="40" t="n">
        <f aca="false">IF(F686="",0,F686*G686)</f>
        <v>0</v>
      </c>
      <c r="J686" s="39"/>
      <c r="K686" s="39"/>
      <c r="L686" s="39"/>
      <c r="M686" s="39"/>
      <c r="N686" s="40" t="str">
        <f aca="false">IF(AND(M686&lt;&gt;"",F686&lt;&gt;""),F686*M686,"")</f>
        <v/>
      </c>
    </row>
    <row r="687" customFormat="false" ht="15" hidden="false" customHeight="false" outlineLevel="0" collapsed="false">
      <c r="A687" s="41" t="str">
        <f aca="false">IF(B687="","",ROW()-3)</f>
        <v/>
      </c>
      <c r="B687" s="42"/>
      <c r="C687" s="43"/>
      <c r="G687" s="44"/>
      <c r="H687" s="43"/>
      <c r="I687" s="44" t="n">
        <f aca="false">IF(F687="",0,F687*G687)</f>
        <v>0</v>
      </c>
      <c r="N687" s="44" t="str">
        <f aca="false">IF(AND(M687&lt;&gt;"",F687&lt;&gt;""),F687*M687,"")</f>
        <v/>
      </c>
    </row>
    <row r="688" customFormat="false" ht="15" hidden="false" customHeight="false" outlineLevel="0" collapsed="false">
      <c r="A688" s="37" t="str">
        <f aca="false">IF(B688="","",ROW()-3)</f>
        <v/>
      </c>
      <c r="B688" s="38"/>
      <c r="C688" s="39"/>
      <c r="D688" s="39"/>
      <c r="E688" s="39"/>
      <c r="F688" s="39"/>
      <c r="G688" s="40"/>
      <c r="H688" s="39"/>
      <c r="I688" s="40" t="n">
        <f aca="false">IF(F688="",0,F688*G688)</f>
        <v>0</v>
      </c>
      <c r="J688" s="39"/>
      <c r="K688" s="39"/>
      <c r="L688" s="39"/>
      <c r="M688" s="39"/>
      <c r="N688" s="40" t="str">
        <f aca="false">IF(AND(M688&lt;&gt;"",F688&lt;&gt;""),F688*M688,"")</f>
        <v/>
      </c>
    </row>
    <row r="689" customFormat="false" ht="15" hidden="false" customHeight="false" outlineLevel="0" collapsed="false">
      <c r="A689" s="41" t="str">
        <f aca="false">IF(B689="","",ROW()-3)</f>
        <v/>
      </c>
      <c r="B689" s="42"/>
      <c r="C689" s="43"/>
      <c r="G689" s="44"/>
      <c r="H689" s="43"/>
      <c r="I689" s="44" t="n">
        <f aca="false">IF(F689="",0,F689*G689)</f>
        <v>0</v>
      </c>
      <c r="N689" s="44" t="str">
        <f aca="false">IF(AND(M689&lt;&gt;"",F689&lt;&gt;""),F689*M689,"")</f>
        <v/>
      </c>
    </row>
    <row r="690" customFormat="false" ht="15" hidden="false" customHeight="false" outlineLevel="0" collapsed="false">
      <c r="A690" s="37" t="str">
        <f aca="false">IF(B690="","",ROW()-3)</f>
        <v/>
      </c>
      <c r="B690" s="38"/>
      <c r="C690" s="39"/>
      <c r="D690" s="39"/>
      <c r="E690" s="39"/>
      <c r="F690" s="39"/>
      <c r="G690" s="40"/>
      <c r="H690" s="39"/>
      <c r="I690" s="40" t="n">
        <f aca="false">IF(F690="",0,F690*G690)</f>
        <v>0</v>
      </c>
      <c r="J690" s="39"/>
      <c r="K690" s="39"/>
      <c r="L690" s="39"/>
      <c r="M690" s="39"/>
      <c r="N690" s="40" t="str">
        <f aca="false">IF(AND(M690&lt;&gt;"",F690&lt;&gt;""),F690*M690,"")</f>
        <v/>
      </c>
    </row>
    <row r="691" customFormat="false" ht="15" hidden="false" customHeight="false" outlineLevel="0" collapsed="false">
      <c r="A691" s="41" t="str">
        <f aca="false">IF(B691="","",ROW()-3)</f>
        <v/>
      </c>
      <c r="B691" s="42"/>
      <c r="C691" s="43"/>
      <c r="G691" s="44"/>
      <c r="H691" s="43"/>
      <c r="I691" s="44" t="n">
        <f aca="false">IF(F691="",0,F691*G691)</f>
        <v>0</v>
      </c>
      <c r="N691" s="44" t="str">
        <f aca="false">IF(AND(M691&lt;&gt;"",F691&lt;&gt;""),F691*M691,"")</f>
        <v/>
      </c>
    </row>
    <row r="692" customFormat="false" ht="15" hidden="false" customHeight="false" outlineLevel="0" collapsed="false">
      <c r="A692" s="37" t="str">
        <f aca="false">IF(B692="","",ROW()-3)</f>
        <v/>
      </c>
      <c r="B692" s="38"/>
      <c r="C692" s="39"/>
      <c r="D692" s="39"/>
      <c r="E692" s="39"/>
      <c r="F692" s="39"/>
      <c r="G692" s="40"/>
      <c r="H692" s="39"/>
      <c r="I692" s="40" t="n">
        <f aca="false">IF(F692="",0,F692*G692)</f>
        <v>0</v>
      </c>
      <c r="J692" s="39"/>
      <c r="K692" s="39"/>
      <c r="L692" s="39"/>
      <c r="M692" s="39"/>
      <c r="N692" s="40" t="str">
        <f aca="false">IF(AND(M692&lt;&gt;"",F692&lt;&gt;""),F692*M692,"")</f>
        <v/>
      </c>
    </row>
    <row r="693" customFormat="false" ht="15" hidden="false" customHeight="false" outlineLevel="0" collapsed="false">
      <c r="A693" s="41" t="str">
        <f aca="false">IF(B693="","",ROW()-3)</f>
        <v/>
      </c>
      <c r="B693" s="42"/>
      <c r="C693" s="43"/>
      <c r="G693" s="44"/>
      <c r="H693" s="43"/>
      <c r="I693" s="44" t="n">
        <f aca="false">IF(F693="",0,F693*G693)</f>
        <v>0</v>
      </c>
      <c r="N693" s="44" t="str">
        <f aca="false">IF(AND(M693&lt;&gt;"",F693&lt;&gt;""),F693*M693,"")</f>
        <v/>
      </c>
    </row>
    <row r="694" customFormat="false" ht="15" hidden="false" customHeight="false" outlineLevel="0" collapsed="false">
      <c r="A694" s="37" t="str">
        <f aca="false">IF(B694="","",ROW()-3)</f>
        <v/>
      </c>
      <c r="B694" s="38"/>
      <c r="C694" s="39"/>
      <c r="D694" s="39"/>
      <c r="E694" s="39"/>
      <c r="F694" s="39"/>
      <c r="G694" s="40"/>
      <c r="H694" s="39"/>
      <c r="I694" s="40" t="n">
        <f aca="false">IF(F694="",0,F694*G694)</f>
        <v>0</v>
      </c>
      <c r="J694" s="39"/>
      <c r="K694" s="39"/>
      <c r="L694" s="39"/>
      <c r="M694" s="39"/>
      <c r="N694" s="40" t="str">
        <f aca="false">IF(AND(M694&lt;&gt;"",F694&lt;&gt;""),F694*M694,"")</f>
        <v/>
      </c>
    </row>
    <row r="695" customFormat="false" ht="15" hidden="false" customHeight="false" outlineLevel="0" collapsed="false">
      <c r="A695" s="41" t="str">
        <f aca="false">IF(B695="","",ROW()-3)</f>
        <v/>
      </c>
      <c r="B695" s="42"/>
      <c r="C695" s="43"/>
      <c r="G695" s="44"/>
      <c r="H695" s="43"/>
      <c r="I695" s="44" t="n">
        <f aca="false">IF(F695="",0,F695*G695)</f>
        <v>0</v>
      </c>
      <c r="N695" s="44" t="str">
        <f aca="false">IF(AND(M695&lt;&gt;"",F695&lt;&gt;""),F695*M695,"")</f>
        <v/>
      </c>
    </row>
    <row r="696" customFormat="false" ht="15" hidden="false" customHeight="false" outlineLevel="0" collapsed="false">
      <c r="A696" s="37" t="str">
        <f aca="false">IF(B696="","",ROW()-3)</f>
        <v/>
      </c>
      <c r="B696" s="38"/>
      <c r="C696" s="39"/>
      <c r="D696" s="39"/>
      <c r="E696" s="39"/>
      <c r="F696" s="39"/>
      <c r="G696" s="40"/>
      <c r="H696" s="39"/>
      <c r="I696" s="40" t="n">
        <f aca="false">IF(F696="",0,F696*G696)</f>
        <v>0</v>
      </c>
      <c r="J696" s="39"/>
      <c r="K696" s="39"/>
      <c r="L696" s="39"/>
      <c r="M696" s="39"/>
      <c r="N696" s="40" t="str">
        <f aca="false">IF(AND(M696&lt;&gt;"",F696&lt;&gt;""),F696*M696,"")</f>
        <v/>
      </c>
    </row>
    <row r="697" customFormat="false" ht="15" hidden="false" customHeight="false" outlineLevel="0" collapsed="false">
      <c r="A697" s="41" t="str">
        <f aca="false">IF(B697="","",ROW()-3)</f>
        <v/>
      </c>
      <c r="B697" s="42"/>
      <c r="C697" s="43"/>
      <c r="G697" s="44"/>
      <c r="H697" s="43"/>
      <c r="I697" s="44" t="n">
        <f aca="false">IF(F697="",0,F697*G697)</f>
        <v>0</v>
      </c>
      <c r="N697" s="44" t="str">
        <f aca="false">IF(AND(M697&lt;&gt;"",F697&lt;&gt;""),F697*M697,"")</f>
        <v/>
      </c>
    </row>
    <row r="698" customFormat="false" ht="15" hidden="false" customHeight="false" outlineLevel="0" collapsed="false">
      <c r="A698" s="37" t="str">
        <f aca="false">IF(B698="","",ROW()-3)</f>
        <v/>
      </c>
      <c r="B698" s="38"/>
      <c r="C698" s="39"/>
      <c r="D698" s="39"/>
      <c r="E698" s="39"/>
      <c r="F698" s="39"/>
      <c r="G698" s="40"/>
      <c r="H698" s="39"/>
      <c r="I698" s="40" t="n">
        <f aca="false">IF(F698="",0,F698*G698)</f>
        <v>0</v>
      </c>
      <c r="J698" s="39"/>
      <c r="K698" s="39"/>
      <c r="L698" s="39"/>
      <c r="M698" s="39"/>
      <c r="N698" s="40" t="str">
        <f aca="false">IF(AND(M698&lt;&gt;"",F698&lt;&gt;""),F698*M698,"")</f>
        <v/>
      </c>
    </row>
    <row r="699" customFormat="false" ht="15" hidden="false" customHeight="false" outlineLevel="0" collapsed="false">
      <c r="A699" s="41" t="str">
        <f aca="false">IF(B699="","",ROW()-3)</f>
        <v/>
      </c>
      <c r="B699" s="42"/>
      <c r="C699" s="43"/>
      <c r="G699" s="44"/>
      <c r="H699" s="43"/>
      <c r="I699" s="44" t="n">
        <f aca="false">IF(F699="",0,F699*G699)</f>
        <v>0</v>
      </c>
      <c r="N699" s="44" t="str">
        <f aca="false">IF(AND(M699&lt;&gt;"",F699&lt;&gt;""),F699*M699,"")</f>
        <v/>
      </c>
    </row>
    <row r="700" customFormat="false" ht="15" hidden="false" customHeight="false" outlineLevel="0" collapsed="false">
      <c r="A700" s="37" t="str">
        <f aca="false">IF(B700="","",ROW()-3)</f>
        <v/>
      </c>
      <c r="B700" s="38"/>
      <c r="C700" s="39"/>
      <c r="D700" s="39"/>
      <c r="E700" s="39"/>
      <c r="F700" s="39"/>
      <c r="G700" s="40"/>
      <c r="H700" s="39"/>
      <c r="I700" s="40" t="n">
        <f aca="false">IF(F700="",0,F700*G700)</f>
        <v>0</v>
      </c>
      <c r="J700" s="39"/>
      <c r="K700" s="39"/>
      <c r="L700" s="39"/>
      <c r="M700" s="39"/>
      <c r="N700" s="40" t="str">
        <f aca="false">IF(AND(M700&lt;&gt;"",F700&lt;&gt;""),F700*M700,"")</f>
        <v/>
      </c>
    </row>
    <row r="701" customFormat="false" ht="15" hidden="false" customHeight="false" outlineLevel="0" collapsed="false">
      <c r="A701" s="41" t="str">
        <f aca="false">IF(B701="","",ROW()-3)</f>
        <v/>
      </c>
      <c r="B701" s="42"/>
      <c r="C701" s="43"/>
      <c r="G701" s="44"/>
      <c r="H701" s="43"/>
      <c r="I701" s="44" t="n">
        <f aca="false">IF(F701="",0,F701*G701)</f>
        <v>0</v>
      </c>
      <c r="N701" s="44" t="str">
        <f aca="false">IF(AND(M701&lt;&gt;"",F701&lt;&gt;""),F701*M701,"")</f>
        <v/>
      </c>
    </row>
    <row r="702" customFormat="false" ht="15" hidden="false" customHeight="false" outlineLevel="0" collapsed="false">
      <c r="A702" s="37" t="str">
        <f aca="false">IF(B702="","",ROW()-3)</f>
        <v/>
      </c>
      <c r="B702" s="38"/>
      <c r="C702" s="39"/>
      <c r="D702" s="39"/>
      <c r="E702" s="39"/>
      <c r="F702" s="39"/>
      <c r="G702" s="40"/>
      <c r="H702" s="39"/>
      <c r="I702" s="40" t="n">
        <f aca="false">IF(F702="",0,F702*G702)</f>
        <v>0</v>
      </c>
      <c r="J702" s="39"/>
      <c r="K702" s="39"/>
      <c r="L702" s="39"/>
      <c r="M702" s="39"/>
      <c r="N702" s="40" t="str">
        <f aca="false">IF(AND(M702&lt;&gt;"",F702&lt;&gt;""),F702*M702,"")</f>
        <v/>
      </c>
    </row>
    <row r="703" customFormat="false" ht="15" hidden="false" customHeight="false" outlineLevel="0" collapsed="false">
      <c r="A703" s="41" t="str">
        <f aca="false">IF(B703="","",ROW()-3)</f>
        <v/>
      </c>
      <c r="B703" s="42"/>
      <c r="C703" s="43"/>
      <c r="G703" s="44"/>
      <c r="H703" s="43"/>
      <c r="I703" s="44" t="n">
        <f aca="false">IF(F703="",0,F703*G703)</f>
        <v>0</v>
      </c>
      <c r="N703" s="44" t="str">
        <f aca="false">IF(AND(M703&lt;&gt;"",F703&lt;&gt;""),F703*M703,"")</f>
        <v/>
      </c>
    </row>
    <row r="704" customFormat="false" ht="15" hidden="false" customHeight="false" outlineLevel="0" collapsed="false">
      <c r="A704" s="37" t="str">
        <f aca="false">IF(B704="","",ROW()-3)</f>
        <v/>
      </c>
      <c r="B704" s="38"/>
      <c r="C704" s="39"/>
      <c r="D704" s="39"/>
      <c r="E704" s="39"/>
      <c r="F704" s="39"/>
      <c r="G704" s="40"/>
      <c r="H704" s="39"/>
      <c r="I704" s="40" t="n">
        <f aca="false">IF(F704="",0,F704*G704)</f>
        <v>0</v>
      </c>
      <c r="J704" s="39"/>
      <c r="K704" s="39"/>
      <c r="L704" s="39"/>
      <c r="M704" s="39"/>
      <c r="N704" s="40" t="str">
        <f aca="false">IF(AND(M704&lt;&gt;"",F704&lt;&gt;""),F704*M704,"")</f>
        <v/>
      </c>
    </row>
    <row r="705" customFormat="false" ht="15" hidden="false" customHeight="false" outlineLevel="0" collapsed="false">
      <c r="A705" s="41" t="str">
        <f aca="false">IF(B705="","",ROW()-3)</f>
        <v/>
      </c>
      <c r="B705" s="42"/>
      <c r="C705" s="43"/>
      <c r="G705" s="44"/>
      <c r="H705" s="43"/>
      <c r="I705" s="44" t="n">
        <f aca="false">IF(F705="",0,F705*G705)</f>
        <v>0</v>
      </c>
      <c r="N705" s="44" t="str">
        <f aca="false">IF(AND(M705&lt;&gt;"",F705&lt;&gt;""),F705*M705,"")</f>
        <v/>
      </c>
    </row>
    <row r="706" customFormat="false" ht="15" hidden="false" customHeight="false" outlineLevel="0" collapsed="false">
      <c r="A706" s="37" t="str">
        <f aca="false">IF(B706="","",ROW()-3)</f>
        <v/>
      </c>
      <c r="B706" s="38"/>
      <c r="C706" s="39"/>
      <c r="D706" s="39"/>
      <c r="E706" s="39"/>
      <c r="F706" s="39"/>
      <c r="G706" s="40"/>
      <c r="H706" s="39"/>
      <c r="I706" s="40" t="n">
        <f aca="false">IF(F706="",0,F706*G706)</f>
        <v>0</v>
      </c>
      <c r="J706" s="39"/>
      <c r="K706" s="39"/>
      <c r="L706" s="39"/>
      <c r="M706" s="39"/>
      <c r="N706" s="40" t="str">
        <f aca="false">IF(AND(M706&lt;&gt;"",F706&lt;&gt;""),F706*M706,"")</f>
        <v/>
      </c>
    </row>
    <row r="707" customFormat="false" ht="15" hidden="false" customHeight="false" outlineLevel="0" collapsed="false">
      <c r="A707" s="41" t="str">
        <f aca="false">IF(B707="","",ROW()-3)</f>
        <v/>
      </c>
      <c r="B707" s="42"/>
      <c r="C707" s="43"/>
      <c r="G707" s="44"/>
      <c r="H707" s="43"/>
      <c r="I707" s="44" t="n">
        <f aca="false">IF(F707="",0,F707*G707)</f>
        <v>0</v>
      </c>
      <c r="N707" s="44" t="str">
        <f aca="false">IF(AND(M707&lt;&gt;"",F707&lt;&gt;""),F707*M707,"")</f>
        <v/>
      </c>
    </row>
    <row r="708" customFormat="false" ht="15" hidden="false" customHeight="false" outlineLevel="0" collapsed="false">
      <c r="A708" s="37" t="str">
        <f aca="false">IF(B708="","",ROW()-3)</f>
        <v/>
      </c>
      <c r="B708" s="38"/>
      <c r="C708" s="39"/>
      <c r="D708" s="39"/>
      <c r="E708" s="39"/>
      <c r="F708" s="39"/>
      <c r="G708" s="40"/>
      <c r="H708" s="39"/>
      <c r="I708" s="40" t="n">
        <f aca="false">IF(F708="",0,F708*G708)</f>
        <v>0</v>
      </c>
      <c r="J708" s="39"/>
      <c r="K708" s="39"/>
      <c r="L708" s="39"/>
      <c r="M708" s="39"/>
      <c r="N708" s="40" t="str">
        <f aca="false">IF(AND(M708&lt;&gt;"",F708&lt;&gt;""),F708*M708,"")</f>
        <v/>
      </c>
    </row>
    <row r="709" customFormat="false" ht="15" hidden="false" customHeight="false" outlineLevel="0" collapsed="false">
      <c r="A709" s="41" t="str">
        <f aca="false">IF(B709="","",ROW()-3)</f>
        <v/>
      </c>
      <c r="B709" s="42"/>
      <c r="C709" s="43"/>
      <c r="G709" s="44"/>
      <c r="H709" s="43"/>
      <c r="I709" s="44" t="n">
        <f aca="false">IF(F709="",0,F709*G709)</f>
        <v>0</v>
      </c>
      <c r="N709" s="44" t="str">
        <f aca="false">IF(AND(M709&lt;&gt;"",F709&lt;&gt;""),F709*M709,"")</f>
        <v/>
      </c>
    </row>
    <row r="710" customFormat="false" ht="15" hidden="false" customHeight="false" outlineLevel="0" collapsed="false">
      <c r="A710" s="37" t="str">
        <f aca="false">IF(B710="","",ROW()-3)</f>
        <v/>
      </c>
      <c r="B710" s="38"/>
      <c r="C710" s="39"/>
      <c r="D710" s="39"/>
      <c r="E710" s="39"/>
      <c r="F710" s="39"/>
      <c r="G710" s="40"/>
      <c r="H710" s="39"/>
      <c r="I710" s="40" t="n">
        <f aca="false">IF(F710="",0,F710*G710)</f>
        <v>0</v>
      </c>
      <c r="J710" s="39"/>
      <c r="K710" s="39"/>
      <c r="L710" s="39"/>
      <c r="M710" s="39"/>
      <c r="N710" s="40" t="str">
        <f aca="false">IF(AND(M710&lt;&gt;"",F710&lt;&gt;""),F710*M710,"")</f>
        <v/>
      </c>
    </row>
    <row r="711" customFormat="false" ht="15" hidden="false" customHeight="false" outlineLevel="0" collapsed="false">
      <c r="A711" s="41" t="str">
        <f aca="false">IF(B711="","",ROW()-3)</f>
        <v/>
      </c>
      <c r="B711" s="42"/>
      <c r="C711" s="43"/>
      <c r="G711" s="44"/>
      <c r="H711" s="43"/>
      <c r="I711" s="44" t="n">
        <f aca="false">IF(F711="",0,F711*G711)</f>
        <v>0</v>
      </c>
      <c r="N711" s="44" t="str">
        <f aca="false">IF(AND(M711&lt;&gt;"",F711&lt;&gt;""),F711*M711,"")</f>
        <v/>
      </c>
    </row>
    <row r="712" customFormat="false" ht="15" hidden="false" customHeight="false" outlineLevel="0" collapsed="false">
      <c r="A712" s="37" t="str">
        <f aca="false">IF(B712="","",ROW()-3)</f>
        <v/>
      </c>
      <c r="B712" s="38"/>
      <c r="C712" s="39"/>
      <c r="D712" s="39"/>
      <c r="E712" s="39"/>
      <c r="F712" s="39"/>
      <c r="G712" s="40"/>
      <c r="H712" s="39"/>
      <c r="I712" s="40" t="n">
        <f aca="false">IF(F712="",0,F712*G712)</f>
        <v>0</v>
      </c>
      <c r="J712" s="39"/>
      <c r="K712" s="39"/>
      <c r="L712" s="39"/>
      <c r="M712" s="39"/>
      <c r="N712" s="40" t="str">
        <f aca="false">IF(AND(M712&lt;&gt;"",F712&lt;&gt;""),F712*M712,"")</f>
        <v/>
      </c>
    </row>
    <row r="713" customFormat="false" ht="15" hidden="false" customHeight="false" outlineLevel="0" collapsed="false">
      <c r="A713" s="41" t="str">
        <f aca="false">IF(B713="","",ROW()-3)</f>
        <v/>
      </c>
      <c r="B713" s="42"/>
      <c r="C713" s="43"/>
      <c r="G713" s="44"/>
      <c r="H713" s="43"/>
      <c r="I713" s="44" t="n">
        <f aca="false">IF(F713="",0,F713*G713)</f>
        <v>0</v>
      </c>
      <c r="N713" s="44" t="str">
        <f aca="false">IF(AND(M713&lt;&gt;"",F713&lt;&gt;""),F713*M713,"")</f>
        <v/>
      </c>
    </row>
    <row r="714" customFormat="false" ht="15" hidden="false" customHeight="false" outlineLevel="0" collapsed="false">
      <c r="A714" s="37" t="str">
        <f aca="false">IF(B714="","",ROW()-3)</f>
        <v/>
      </c>
      <c r="B714" s="38"/>
      <c r="C714" s="39"/>
      <c r="D714" s="39"/>
      <c r="E714" s="39"/>
      <c r="F714" s="39"/>
      <c r="G714" s="40"/>
      <c r="H714" s="39"/>
      <c r="I714" s="40" t="n">
        <f aca="false">IF(F714="",0,F714*G714)</f>
        <v>0</v>
      </c>
      <c r="J714" s="39"/>
      <c r="K714" s="39"/>
      <c r="L714" s="39"/>
      <c r="M714" s="39"/>
      <c r="N714" s="40" t="str">
        <f aca="false">IF(AND(M714&lt;&gt;"",F714&lt;&gt;""),F714*M714,"")</f>
        <v/>
      </c>
    </row>
    <row r="715" customFormat="false" ht="15" hidden="false" customHeight="false" outlineLevel="0" collapsed="false">
      <c r="A715" s="41" t="str">
        <f aca="false">IF(B715="","",ROW()-3)</f>
        <v/>
      </c>
      <c r="B715" s="42"/>
      <c r="C715" s="43"/>
      <c r="G715" s="44"/>
      <c r="H715" s="43"/>
      <c r="I715" s="44" t="n">
        <f aca="false">IF(F715="",0,F715*G715)</f>
        <v>0</v>
      </c>
      <c r="N715" s="44" t="str">
        <f aca="false">IF(AND(M715&lt;&gt;"",F715&lt;&gt;""),F715*M715,"")</f>
        <v/>
      </c>
    </row>
    <row r="716" customFormat="false" ht="15" hidden="false" customHeight="false" outlineLevel="0" collapsed="false">
      <c r="A716" s="37" t="str">
        <f aca="false">IF(B716="","",ROW()-3)</f>
        <v/>
      </c>
      <c r="B716" s="38"/>
      <c r="C716" s="39"/>
      <c r="D716" s="39"/>
      <c r="E716" s="39"/>
      <c r="F716" s="39"/>
      <c r="G716" s="40"/>
      <c r="H716" s="39"/>
      <c r="I716" s="40" t="n">
        <f aca="false">IF(F716="",0,F716*G716)</f>
        <v>0</v>
      </c>
      <c r="J716" s="39"/>
      <c r="K716" s="39"/>
      <c r="L716" s="39"/>
      <c r="M716" s="39"/>
      <c r="N716" s="40" t="str">
        <f aca="false">IF(AND(M716&lt;&gt;"",F716&lt;&gt;""),F716*M716,"")</f>
        <v/>
      </c>
    </row>
    <row r="717" customFormat="false" ht="15" hidden="false" customHeight="false" outlineLevel="0" collapsed="false">
      <c r="A717" s="41" t="str">
        <f aca="false">IF(B717="","",ROW()-3)</f>
        <v/>
      </c>
      <c r="B717" s="42"/>
      <c r="C717" s="43"/>
      <c r="G717" s="44"/>
      <c r="H717" s="43"/>
      <c r="I717" s="44" t="n">
        <f aca="false">IF(F717="",0,F717*G717)</f>
        <v>0</v>
      </c>
      <c r="N717" s="44" t="str">
        <f aca="false">IF(AND(M717&lt;&gt;"",F717&lt;&gt;""),F717*M717,"")</f>
        <v/>
      </c>
    </row>
    <row r="718" customFormat="false" ht="15" hidden="false" customHeight="false" outlineLevel="0" collapsed="false">
      <c r="A718" s="37" t="str">
        <f aca="false">IF(B718="","",ROW()-3)</f>
        <v/>
      </c>
      <c r="B718" s="38"/>
      <c r="C718" s="39"/>
      <c r="D718" s="39"/>
      <c r="E718" s="39"/>
      <c r="F718" s="39"/>
      <c r="G718" s="40"/>
      <c r="H718" s="39"/>
      <c r="I718" s="40" t="n">
        <f aca="false">IF(F718="",0,F718*G718)</f>
        <v>0</v>
      </c>
      <c r="J718" s="39"/>
      <c r="K718" s="39"/>
      <c r="L718" s="39"/>
      <c r="M718" s="39"/>
      <c r="N718" s="40" t="str">
        <f aca="false">IF(AND(M718&lt;&gt;"",F718&lt;&gt;""),F718*M718,"")</f>
        <v/>
      </c>
    </row>
    <row r="719" customFormat="false" ht="15" hidden="false" customHeight="false" outlineLevel="0" collapsed="false">
      <c r="A719" s="41" t="str">
        <f aca="false">IF(B719="","",ROW()-3)</f>
        <v/>
      </c>
      <c r="B719" s="42"/>
      <c r="C719" s="43"/>
      <c r="G719" s="44"/>
      <c r="H719" s="43"/>
      <c r="I719" s="44" t="n">
        <f aca="false">IF(F719="",0,F719*G719)</f>
        <v>0</v>
      </c>
      <c r="N719" s="44" t="str">
        <f aca="false">IF(AND(M719&lt;&gt;"",F719&lt;&gt;""),F719*M719,"")</f>
        <v/>
      </c>
    </row>
    <row r="720" customFormat="false" ht="15" hidden="false" customHeight="false" outlineLevel="0" collapsed="false">
      <c r="A720" s="37" t="str">
        <f aca="false">IF(B720="","",ROW()-3)</f>
        <v/>
      </c>
      <c r="B720" s="38"/>
      <c r="C720" s="39"/>
      <c r="D720" s="39"/>
      <c r="E720" s="39"/>
      <c r="F720" s="39"/>
      <c r="G720" s="40"/>
      <c r="H720" s="39"/>
      <c r="I720" s="40" t="n">
        <f aca="false">IF(F720="",0,F720*G720)</f>
        <v>0</v>
      </c>
      <c r="J720" s="39"/>
      <c r="K720" s="39"/>
      <c r="L720" s="39"/>
      <c r="M720" s="39"/>
      <c r="N720" s="40" t="str">
        <f aca="false">IF(AND(M720&lt;&gt;"",F720&lt;&gt;""),F720*M720,"")</f>
        <v/>
      </c>
    </row>
    <row r="721" customFormat="false" ht="15" hidden="false" customHeight="false" outlineLevel="0" collapsed="false">
      <c r="A721" s="41" t="str">
        <f aca="false">IF(B721="","",ROW()-3)</f>
        <v/>
      </c>
      <c r="B721" s="42"/>
      <c r="C721" s="43"/>
      <c r="G721" s="44"/>
      <c r="H721" s="43"/>
      <c r="I721" s="44" t="n">
        <f aca="false">IF(F721="",0,F721*G721)</f>
        <v>0</v>
      </c>
      <c r="N721" s="44" t="str">
        <f aca="false">IF(AND(M721&lt;&gt;"",F721&lt;&gt;""),F721*M721,"")</f>
        <v/>
      </c>
    </row>
    <row r="722" customFormat="false" ht="15" hidden="false" customHeight="false" outlineLevel="0" collapsed="false">
      <c r="A722" s="37" t="str">
        <f aca="false">IF(B722="","",ROW()-3)</f>
        <v/>
      </c>
      <c r="B722" s="38"/>
      <c r="C722" s="39"/>
      <c r="D722" s="39"/>
      <c r="E722" s="39"/>
      <c r="F722" s="39"/>
      <c r="G722" s="40"/>
      <c r="H722" s="39"/>
      <c r="I722" s="40" t="n">
        <f aca="false">IF(F722="",0,F722*G722)</f>
        <v>0</v>
      </c>
      <c r="J722" s="39"/>
      <c r="K722" s="39"/>
      <c r="L722" s="39"/>
      <c r="M722" s="39"/>
      <c r="N722" s="40" t="str">
        <f aca="false">IF(AND(M722&lt;&gt;"",F722&lt;&gt;""),F722*M722,"")</f>
        <v/>
      </c>
    </row>
    <row r="723" customFormat="false" ht="15" hidden="false" customHeight="false" outlineLevel="0" collapsed="false">
      <c r="A723" s="41" t="str">
        <f aca="false">IF(B723="","",ROW()-3)</f>
        <v/>
      </c>
      <c r="B723" s="42"/>
      <c r="C723" s="43"/>
      <c r="G723" s="44"/>
      <c r="H723" s="43"/>
      <c r="I723" s="44" t="n">
        <f aca="false">IF(F723="",0,F723*G723)</f>
        <v>0</v>
      </c>
      <c r="N723" s="44" t="str">
        <f aca="false">IF(AND(M723&lt;&gt;"",F723&lt;&gt;""),F723*M723,"")</f>
        <v/>
      </c>
    </row>
    <row r="724" customFormat="false" ht="15" hidden="false" customHeight="false" outlineLevel="0" collapsed="false">
      <c r="A724" s="37" t="str">
        <f aca="false">IF(B724="","",ROW()-3)</f>
        <v/>
      </c>
      <c r="B724" s="38"/>
      <c r="C724" s="39"/>
      <c r="D724" s="39"/>
      <c r="E724" s="39"/>
      <c r="F724" s="39"/>
      <c r="G724" s="40"/>
      <c r="H724" s="39"/>
      <c r="I724" s="40" t="n">
        <f aca="false">IF(F724="",0,F724*G724)</f>
        <v>0</v>
      </c>
      <c r="J724" s="39"/>
      <c r="K724" s="39"/>
      <c r="L724" s="39"/>
      <c r="M724" s="39"/>
      <c r="N724" s="40" t="str">
        <f aca="false">IF(AND(M724&lt;&gt;"",F724&lt;&gt;""),F724*M724,"")</f>
        <v/>
      </c>
    </row>
    <row r="725" customFormat="false" ht="15" hidden="false" customHeight="false" outlineLevel="0" collapsed="false">
      <c r="A725" s="41" t="str">
        <f aca="false">IF(B725="","",ROW()-3)</f>
        <v/>
      </c>
      <c r="B725" s="42"/>
      <c r="C725" s="43"/>
      <c r="G725" s="44"/>
      <c r="H725" s="43"/>
      <c r="I725" s="44" t="n">
        <f aca="false">IF(F725="",0,F725*G725)</f>
        <v>0</v>
      </c>
      <c r="N725" s="44" t="str">
        <f aca="false">IF(AND(M725&lt;&gt;"",F725&lt;&gt;""),F725*M725,"")</f>
        <v/>
      </c>
    </row>
    <row r="726" customFormat="false" ht="15" hidden="false" customHeight="false" outlineLevel="0" collapsed="false">
      <c r="A726" s="37" t="str">
        <f aca="false">IF(B726="","",ROW()-3)</f>
        <v/>
      </c>
      <c r="B726" s="38"/>
      <c r="C726" s="39"/>
      <c r="D726" s="39"/>
      <c r="E726" s="39"/>
      <c r="F726" s="39"/>
      <c r="G726" s="40"/>
      <c r="H726" s="39"/>
      <c r="I726" s="40" t="n">
        <f aca="false">IF(F726="",0,F726*G726)</f>
        <v>0</v>
      </c>
      <c r="J726" s="39"/>
      <c r="K726" s="39"/>
      <c r="L726" s="39"/>
      <c r="M726" s="39"/>
      <c r="N726" s="40" t="str">
        <f aca="false">IF(AND(M726&lt;&gt;"",F726&lt;&gt;""),F726*M726,"")</f>
        <v/>
      </c>
    </row>
    <row r="727" customFormat="false" ht="15" hidden="false" customHeight="false" outlineLevel="0" collapsed="false">
      <c r="A727" s="41" t="str">
        <f aca="false">IF(B727="","",ROW()-3)</f>
        <v/>
      </c>
      <c r="B727" s="42"/>
      <c r="C727" s="43"/>
      <c r="G727" s="44"/>
      <c r="H727" s="43"/>
      <c r="I727" s="44" t="n">
        <f aca="false">IF(F727="",0,F727*G727)</f>
        <v>0</v>
      </c>
      <c r="N727" s="44" t="str">
        <f aca="false">IF(AND(M727&lt;&gt;"",F727&lt;&gt;""),F727*M727,"")</f>
        <v/>
      </c>
    </row>
    <row r="728" customFormat="false" ht="15" hidden="false" customHeight="false" outlineLevel="0" collapsed="false">
      <c r="A728" s="37" t="str">
        <f aca="false">IF(B728="","",ROW()-3)</f>
        <v/>
      </c>
      <c r="B728" s="38"/>
      <c r="C728" s="39"/>
      <c r="D728" s="39"/>
      <c r="E728" s="39"/>
      <c r="F728" s="39"/>
      <c r="G728" s="40"/>
      <c r="H728" s="39"/>
      <c r="I728" s="40" t="n">
        <f aca="false">IF(F728="",0,F728*G728)</f>
        <v>0</v>
      </c>
      <c r="J728" s="39"/>
      <c r="K728" s="39"/>
      <c r="L728" s="39"/>
      <c r="M728" s="39"/>
      <c r="N728" s="40" t="str">
        <f aca="false">IF(AND(M728&lt;&gt;"",F728&lt;&gt;""),F728*M728,"")</f>
        <v/>
      </c>
    </row>
    <row r="729" customFormat="false" ht="15" hidden="false" customHeight="false" outlineLevel="0" collapsed="false">
      <c r="A729" s="41" t="str">
        <f aca="false">IF(B729="","",ROW()-3)</f>
        <v/>
      </c>
      <c r="B729" s="42"/>
      <c r="C729" s="43"/>
      <c r="G729" s="44"/>
      <c r="H729" s="43"/>
      <c r="I729" s="44" t="n">
        <f aca="false">IF(F729="",0,F729*G729)</f>
        <v>0</v>
      </c>
      <c r="N729" s="44" t="str">
        <f aca="false">IF(AND(M729&lt;&gt;"",F729&lt;&gt;""),F729*M729,"")</f>
        <v/>
      </c>
    </row>
    <row r="730" customFormat="false" ht="15" hidden="false" customHeight="false" outlineLevel="0" collapsed="false">
      <c r="A730" s="37" t="str">
        <f aca="false">IF(B730="","",ROW()-3)</f>
        <v/>
      </c>
      <c r="B730" s="38"/>
      <c r="C730" s="39"/>
      <c r="D730" s="39"/>
      <c r="E730" s="39"/>
      <c r="F730" s="39"/>
      <c r="G730" s="40"/>
      <c r="H730" s="39"/>
      <c r="I730" s="40" t="n">
        <f aca="false">IF(F730="",0,F730*G730)</f>
        <v>0</v>
      </c>
      <c r="J730" s="39"/>
      <c r="K730" s="39"/>
      <c r="L730" s="39"/>
      <c r="M730" s="39"/>
      <c r="N730" s="40" t="str">
        <f aca="false">IF(AND(M730&lt;&gt;"",F730&lt;&gt;""),F730*M730,"")</f>
        <v/>
      </c>
    </row>
    <row r="731" customFormat="false" ht="15" hidden="false" customHeight="false" outlineLevel="0" collapsed="false">
      <c r="A731" s="41" t="str">
        <f aca="false">IF(B731="","",ROW()-3)</f>
        <v/>
      </c>
      <c r="B731" s="42"/>
      <c r="C731" s="43"/>
      <c r="G731" s="44"/>
      <c r="H731" s="43"/>
      <c r="I731" s="44" t="n">
        <f aca="false">IF(F731="",0,F731*G731)</f>
        <v>0</v>
      </c>
      <c r="N731" s="44" t="str">
        <f aca="false">IF(AND(M731&lt;&gt;"",F731&lt;&gt;""),F731*M731,"")</f>
        <v/>
      </c>
    </row>
    <row r="732" customFormat="false" ht="15" hidden="false" customHeight="false" outlineLevel="0" collapsed="false">
      <c r="A732" s="37" t="str">
        <f aca="false">IF(B732="","",ROW()-3)</f>
        <v/>
      </c>
      <c r="B732" s="38"/>
      <c r="C732" s="39"/>
      <c r="D732" s="39"/>
      <c r="E732" s="39"/>
      <c r="F732" s="39"/>
      <c r="G732" s="40"/>
      <c r="H732" s="39"/>
      <c r="I732" s="40" t="n">
        <f aca="false">IF(F732="",0,F732*G732)</f>
        <v>0</v>
      </c>
      <c r="J732" s="39"/>
      <c r="K732" s="39"/>
      <c r="L732" s="39"/>
      <c r="M732" s="39"/>
      <c r="N732" s="40" t="str">
        <f aca="false">IF(AND(M732&lt;&gt;"",F732&lt;&gt;""),F732*M732,"")</f>
        <v/>
      </c>
    </row>
    <row r="733" customFormat="false" ht="15" hidden="false" customHeight="false" outlineLevel="0" collapsed="false">
      <c r="A733" s="41" t="str">
        <f aca="false">IF(B733="","",ROW()-3)</f>
        <v/>
      </c>
      <c r="B733" s="42"/>
      <c r="C733" s="43"/>
      <c r="G733" s="44"/>
      <c r="H733" s="43"/>
      <c r="I733" s="44" t="n">
        <f aca="false">IF(F733="",0,F733*G733)</f>
        <v>0</v>
      </c>
      <c r="N733" s="44" t="str">
        <f aca="false">IF(AND(M733&lt;&gt;"",F733&lt;&gt;""),F733*M733,"")</f>
        <v/>
      </c>
    </row>
    <row r="734" customFormat="false" ht="15" hidden="false" customHeight="false" outlineLevel="0" collapsed="false">
      <c r="A734" s="37" t="str">
        <f aca="false">IF(B734="","",ROW()-3)</f>
        <v/>
      </c>
      <c r="B734" s="38"/>
      <c r="C734" s="39"/>
      <c r="D734" s="39"/>
      <c r="E734" s="39"/>
      <c r="F734" s="39"/>
      <c r="G734" s="40"/>
      <c r="H734" s="39"/>
      <c r="I734" s="40" t="n">
        <f aca="false">IF(F734="",0,F734*G734)</f>
        <v>0</v>
      </c>
      <c r="J734" s="39"/>
      <c r="K734" s="39"/>
      <c r="L734" s="39"/>
      <c r="M734" s="39"/>
      <c r="N734" s="40" t="str">
        <f aca="false">IF(AND(M734&lt;&gt;"",F734&lt;&gt;""),F734*M734,"")</f>
        <v/>
      </c>
    </row>
    <row r="735" customFormat="false" ht="15" hidden="false" customHeight="false" outlineLevel="0" collapsed="false">
      <c r="A735" s="41" t="str">
        <f aca="false">IF(B735="","",ROW()-3)</f>
        <v/>
      </c>
      <c r="B735" s="42"/>
      <c r="C735" s="43"/>
      <c r="G735" s="44"/>
      <c r="H735" s="43"/>
      <c r="I735" s="44" t="n">
        <f aca="false">IF(F735="",0,F735*G735)</f>
        <v>0</v>
      </c>
      <c r="N735" s="44" t="str">
        <f aca="false">IF(AND(M735&lt;&gt;"",F735&lt;&gt;""),F735*M735,"")</f>
        <v/>
      </c>
    </row>
    <row r="736" customFormat="false" ht="15" hidden="false" customHeight="false" outlineLevel="0" collapsed="false">
      <c r="A736" s="37" t="str">
        <f aca="false">IF(B736="","",ROW()-3)</f>
        <v/>
      </c>
      <c r="B736" s="38"/>
      <c r="C736" s="39"/>
      <c r="D736" s="39"/>
      <c r="E736" s="39"/>
      <c r="F736" s="39"/>
      <c r="G736" s="40"/>
      <c r="H736" s="39"/>
      <c r="I736" s="40" t="n">
        <f aca="false">IF(F736="",0,F736*G736)</f>
        <v>0</v>
      </c>
      <c r="J736" s="39"/>
      <c r="K736" s="39"/>
      <c r="L736" s="39"/>
      <c r="M736" s="39"/>
      <c r="N736" s="40" t="str">
        <f aca="false">IF(AND(M736&lt;&gt;"",F736&lt;&gt;""),F736*M736,"")</f>
        <v/>
      </c>
    </row>
    <row r="737" customFormat="false" ht="15" hidden="false" customHeight="false" outlineLevel="0" collapsed="false">
      <c r="A737" s="41" t="str">
        <f aca="false">IF(B737="","",ROW()-3)</f>
        <v/>
      </c>
      <c r="B737" s="42"/>
      <c r="C737" s="43"/>
      <c r="G737" s="44"/>
      <c r="H737" s="43"/>
      <c r="I737" s="44" t="n">
        <f aca="false">IF(F737="",0,F737*G737)</f>
        <v>0</v>
      </c>
      <c r="N737" s="44" t="str">
        <f aca="false">IF(AND(M737&lt;&gt;"",F737&lt;&gt;""),F737*M737,"")</f>
        <v/>
      </c>
    </row>
    <row r="738" customFormat="false" ht="15" hidden="false" customHeight="false" outlineLevel="0" collapsed="false">
      <c r="A738" s="37" t="str">
        <f aca="false">IF(B738="","",ROW()-3)</f>
        <v/>
      </c>
      <c r="B738" s="38"/>
      <c r="C738" s="39"/>
      <c r="D738" s="39"/>
      <c r="E738" s="39"/>
      <c r="F738" s="39"/>
      <c r="G738" s="40"/>
      <c r="H738" s="39"/>
      <c r="I738" s="40" t="n">
        <f aca="false">IF(F738="",0,F738*G738)</f>
        <v>0</v>
      </c>
      <c r="J738" s="39"/>
      <c r="K738" s="39"/>
      <c r="L738" s="39"/>
      <c r="M738" s="39"/>
      <c r="N738" s="40" t="str">
        <f aca="false">IF(AND(M738&lt;&gt;"",F738&lt;&gt;""),F738*M738,"")</f>
        <v/>
      </c>
    </row>
    <row r="739" customFormat="false" ht="15" hidden="false" customHeight="false" outlineLevel="0" collapsed="false">
      <c r="A739" s="41" t="str">
        <f aca="false">IF(B739="","",ROW()-3)</f>
        <v/>
      </c>
      <c r="B739" s="42"/>
      <c r="C739" s="43"/>
      <c r="G739" s="44"/>
      <c r="H739" s="43"/>
      <c r="I739" s="44" t="n">
        <f aca="false">IF(F739="",0,F739*G739)</f>
        <v>0</v>
      </c>
      <c r="N739" s="44" t="str">
        <f aca="false">IF(AND(M739&lt;&gt;"",F739&lt;&gt;""),F739*M739,"")</f>
        <v/>
      </c>
    </row>
    <row r="740" customFormat="false" ht="15" hidden="false" customHeight="false" outlineLevel="0" collapsed="false">
      <c r="A740" s="37" t="str">
        <f aca="false">IF(B740="","",ROW()-3)</f>
        <v/>
      </c>
      <c r="B740" s="38"/>
      <c r="C740" s="39"/>
      <c r="D740" s="39"/>
      <c r="E740" s="39"/>
      <c r="F740" s="39"/>
      <c r="G740" s="40"/>
      <c r="H740" s="39"/>
      <c r="I740" s="40" t="n">
        <f aca="false">IF(F740="",0,F740*G740)</f>
        <v>0</v>
      </c>
      <c r="J740" s="39"/>
      <c r="K740" s="39"/>
      <c r="L740" s="39"/>
      <c r="M740" s="39"/>
      <c r="N740" s="40" t="str">
        <f aca="false">IF(AND(M740&lt;&gt;"",F740&lt;&gt;""),F740*M740,"")</f>
        <v/>
      </c>
    </row>
    <row r="741" customFormat="false" ht="15" hidden="false" customHeight="false" outlineLevel="0" collapsed="false">
      <c r="A741" s="41" t="str">
        <f aca="false">IF(B741="","",ROW()-3)</f>
        <v/>
      </c>
      <c r="B741" s="42"/>
      <c r="C741" s="43"/>
      <c r="G741" s="44"/>
      <c r="H741" s="43"/>
      <c r="I741" s="44" t="n">
        <f aca="false">IF(F741="",0,F741*G741)</f>
        <v>0</v>
      </c>
      <c r="N741" s="44" t="str">
        <f aca="false">IF(AND(M741&lt;&gt;"",F741&lt;&gt;""),F741*M741,"")</f>
        <v/>
      </c>
    </row>
    <row r="742" customFormat="false" ht="15" hidden="false" customHeight="false" outlineLevel="0" collapsed="false">
      <c r="A742" s="37" t="str">
        <f aca="false">IF(B742="","",ROW()-3)</f>
        <v/>
      </c>
      <c r="B742" s="38"/>
      <c r="C742" s="39"/>
      <c r="D742" s="39"/>
      <c r="E742" s="39"/>
      <c r="F742" s="39"/>
      <c r="G742" s="40"/>
      <c r="H742" s="39"/>
      <c r="I742" s="40" t="n">
        <f aca="false">IF(F742="",0,F742*G742)</f>
        <v>0</v>
      </c>
      <c r="J742" s="39"/>
      <c r="K742" s="39"/>
      <c r="L742" s="39"/>
      <c r="M742" s="39"/>
      <c r="N742" s="40" t="str">
        <f aca="false">IF(AND(M742&lt;&gt;"",F742&lt;&gt;""),F742*M742,"")</f>
        <v/>
      </c>
    </row>
    <row r="743" customFormat="false" ht="15" hidden="false" customHeight="false" outlineLevel="0" collapsed="false">
      <c r="A743" s="41" t="str">
        <f aca="false">IF(B743="","",ROW()-3)</f>
        <v/>
      </c>
      <c r="B743" s="42"/>
      <c r="C743" s="43"/>
      <c r="G743" s="44"/>
      <c r="H743" s="43"/>
      <c r="I743" s="44" t="n">
        <f aca="false">IF(F743="",0,F743*G743)</f>
        <v>0</v>
      </c>
      <c r="N743" s="44" t="str">
        <f aca="false">IF(AND(M743&lt;&gt;"",F743&lt;&gt;""),F743*M743,"")</f>
        <v/>
      </c>
    </row>
    <row r="744" customFormat="false" ht="15" hidden="false" customHeight="false" outlineLevel="0" collapsed="false">
      <c r="A744" s="37" t="str">
        <f aca="false">IF(B744="","",ROW()-3)</f>
        <v/>
      </c>
      <c r="B744" s="38"/>
      <c r="C744" s="39"/>
      <c r="D744" s="39"/>
      <c r="E744" s="39"/>
      <c r="F744" s="39"/>
      <c r="G744" s="40"/>
      <c r="H744" s="39"/>
      <c r="I744" s="40" t="n">
        <f aca="false">IF(F744="",0,F744*G744)</f>
        <v>0</v>
      </c>
      <c r="J744" s="39"/>
      <c r="K744" s="39"/>
      <c r="L744" s="39"/>
      <c r="M744" s="39"/>
      <c r="N744" s="40" t="str">
        <f aca="false">IF(AND(M744&lt;&gt;"",F744&lt;&gt;""),F744*M744,"")</f>
        <v/>
      </c>
    </row>
    <row r="745" customFormat="false" ht="15" hidden="false" customHeight="false" outlineLevel="0" collapsed="false">
      <c r="A745" s="41" t="str">
        <f aca="false">IF(B745="","",ROW()-3)</f>
        <v/>
      </c>
      <c r="B745" s="42"/>
      <c r="C745" s="43"/>
      <c r="G745" s="44"/>
      <c r="H745" s="43"/>
      <c r="I745" s="44" t="n">
        <f aca="false">IF(F745="",0,F745*G745)</f>
        <v>0</v>
      </c>
      <c r="N745" s="44" t="str">
        <f aca="false">IF(AND(M745&lt;&gt;"",F745&lt;&gt;""),F745*M745,"")</f>
        <v/>
      </c>
    </row>
    <row r="746" customFormat="false" ht="15" hidden="false" customHeight="false" outlineLevel="0" collapsed="false">
      <c r="A746" s="37" t="str">
        <f aca="false">IF(B746="","",ROW()-3)</f>
        <v/>
      </c>
      <c r="B746" s="38"/>
      <c r="C746" s="39"/>
      <c r="D746" s="39"/>
      <c r="E746" s="39"/>
      <c r="F746" s="39"/>
      <c r="G746" s="40"/>
      <c r="H746" s="39"/>
      <c r="I746" s="40" t="n">
        <f aca="false">IF(F746="",0,F746*G746)</f>
        <v>0</v>
      </c>
      <c r="J746" s="39"/>
      <c r="K746" s="39"/>
      <c r="L746" s="39"/>
      <c r="M746" s="39"/>
      <c r="N746" s="40" t="str">
        <f aca="false">IF(AND(M746&lt;&gt;"",F746&lt;&gt;""),F746*M746,"")</f>
        <v/>
      </c>
    </row>
    <row r="747" customFormat="false" ht="15" hidden="false" customHeight="false" outlineLevel="0" collapsed="false">
      <c r="A747" s="41" t="str">
        <f aca="false">IF(B747="","",ROW()-3)</f>
        <v/>
      </c>
      <c r="B747" s="42"/>
      <c r="C747" s="43"/>
      <c r="G747" s="44"/>
      <c r="H747" s="43"/>
      <c r="I747" s="44" t="n">
        <f aca="false">IF(F747="",0,F747*G747)</f>
        <v>0</v>
      </c>
      <c r="N747" s="44" t="str">
        <f aca="false">IF(AND(M747&lt;&gt;"",F747&lt;&gt;""),F747*M747,"")</f>
        <v/>
      </c>
    </row>
    <row r="748" customFormat="false" ht="15" hidden="false" customHeight="false" outlineLevel="0" collapsed="false">
      <c r="A748" s="37" t="str">
        <f aca="false">IF(B748="","",ROW()-3)</f>
        <v/>
      </c>
      <c r="B748" s="38"/>
      <c r="C748" s="39"/>
      <c r="D748" s="39"/>
      <c r="E748" s="39"/>
      <c r="F748" s="39"/>
      <c r="G748" s="40"/>
      <c r="H748" s="39"/>
      <c r="I748" s="40" t="n">
        <f aca="false">IF(F748="",0,F748*G748)</f>
        <v>0</v>
      </c>
      <c r="J748" s="39"/>
      <c r="K748" s="39"/>
      <c r="L748" s="39"/>
      <c r="M748" s="39"/>
      <c r="N748" s="40" t="str">
        <f aca="false">IF(AND(M748&lt;&gt;"",F748&lt;&gt;""),F748*M748,"")</f>
        <v/>
      </c>
    </row>
    <row r="749" customFormat="false" ht="15" hidden="false" customHeight="false" outlineLevel="0" collapsed="false">
      <c r="A749" s="41" t="str">
        <f aca="false">IF(B749="","",ROW()-3)</f>
        <v/>
      </c>
      <c r="B749" s="42"/>
      <c r="C749" s="43"/>
      <c r="G749" s="44"/>
      <c r="H749" s="43"/>
      <c r="I749" s="44" t="n">
        <f aca="false">IF(F749="",0,F749*G749)</f>
        <v>0</v>
      </c>
      <c r="N749" s="44" t="str">
        <f aca="false">IF(AND(M749&lt;&gt;"",F749&lt;&gt;""),F749*M749,"")</f>
        <v/>
      </c>
    </row>
    <row r="750" customFormat="false" ht="15" hidden="false" customHeight="false" outlineLevel="0" collapsed="false">
      <c r="A750" s="37" t="str">
        <f aca="false">IF(B750="","",ROW()-3)</f>
        <v/>
      </c>
      <c r="B750" s="38"/>
      <c r="C750" s="39"/>
      <c r="D750" s="39"/>
      <c r="E750" s="39"/>
      <c r="F750" s="39"/>
      <c r="G750" s="40"/>
      <c r="H750" s="39"/>
      <c r="I750" s="40" t="n">
        <f aca="false">IF(F750="",0,F750*G750)</f>
        <v>0</v>
      </c>
      <c r="J750" s="39"/>
      <c r="K750" s="39"/>
      <c r="L750" s="39"/>
      <c r="M750" s="39"/>
      <c r="N750" s="40" t="str">
        <f aca="false">IF(AND(M750&lt;&gt;"",F750&lt;&gt;""),F750*M750,"")</f>
        <v/>
      </c>
    </row>
    <row r="751" customFormat="false" ht="15" hidden="false" customHeight="false" outlineLevel="0" collapsed="false">
      <c r="A751" s="41" t="str">
        <f aca="false">IF(B751="","",ROW()-3)</f>
        <v/>
      </c>
      <c r="B751" s="42"/>
      <c r="C751" s="43"/>
      <c r="G751" s="44"/>
      <c r="H751" s="43"/>
      <c r="I751" s="44" t="n">
        <f aca="false">IF(F751="",0,F751*G751)</f>
        <v>0</v>
      </c>
      <c r="N751" s="44" t="str">
        <f aca="false">IF(AND(M751&lt;&gt;"",F751&lt;&gt;""),F751*M751,"")</f>
        <v/>
      </c>
    </row>
    <row r="752" customFormat="false" ht="15" hidden="false" customHeight="false" outlineLevel="0" collapsed="false">
      <c r="A752" s="37" t="str">
        <f aca="false">IF(B752="","",ROW()-3)</f>
        <v/>
      </c>
      <c r="B752" s="38"/>
      <c r="C752" s="39"/>
      <c r="D752" s="39"/>
      <c r="E752" s="39"/>
      <c r="F752" s="39"/>
      <c r="G752" s="40"/>
      <c r="H752" s="39"/>
      <c r="I752" s="40" t="n">
        <f aca="false">IF(F752="",0,F752*G752)</f>
        <v>0</v>
      </c>
      <c r="J752" s="39"/>
      <c r="K752" s="39"/>
      <c r="L752" s="39"/>
      <c r="M752" s="39"/>
      <c r="N752" s="40" t="str">
        <f aca="false">IF(AND(M752&lt;&gt;"",F752&lt;&gt;""),F752*M752,"")</f>
        <v/>
      </c>
    </row>
    <row r="753" customFormat="false" ht="15" hidden="false" customHeight="false" outlineLevel="0" collapsed="false">
      <c r="A753" s="41" t="str">
        <f aca="false">IF(B753="","",ROW()-3)</f>
        <v/>
      </c>
      <c r="B753" s="42"/>
      <c r="C753" s="43"/>
      <c r="G753" s="44"/>
      <c r="H753" s="43"/>
      <c r="I753" s="44" t="n">
        <f aca="false">IF(F753="",0,F753*G753)</f>
        <v>0</v>
      </c>
      <c r="N753" s="44" t="str">
        <f aca="false">IF(AND(M753&lt;&gt;"",F753&lt;&gt;""),F753*M753,"")</f>
        <v/>
      </c>
    </row>
    <row r="754" customFormat="false" ht="15" hidden="false" customHeight="false" outlineLevel="0" collapsed="false">
      <c r="A754" s="37" t="str">
        <f aca="false">IF(B754="","",ROW()-3)</f>
        <v/>
      </c>
      <c r="B754" s="38"/>
      <c r="C754" s="39"/>
      <c r="D754" s="39"/>
      <c r="E754" s="39"/>
      <c r="F754" s="39"/>
      <c r="G754" s="40"/>
      <c r="H754" s="39"/>
      <c r="I754" s="40" t="n">
        <f aca="false">IF(F754="",0,F754*G754)</f>
        <v>0</v>
      </c>
      <c r="J754" s="39"/>
      <c r="K754" s="39"/>
      <c r="L754" s="39"/>
      <c r="M754" s="39"/>
      <c r="N754" s="40" t="str">
        <f aca="false">IF(AND(M754&lt;&gt;"",F754&lt;&gt;""),F754*M754,"")</f>
        <v/>
      </c>
    </row>
    <row r="755" customFormat="false" ht="15" hidden="false" customHeight="false" outlineLevel="0" collapsed="false">
      <c r="A755" s="41" t="str">
        <f aca="false">IF(B755="","",ROW()-3)</f>
        <v/>
      </c>
      <c r="B755" s="42"/>
      <c r="C755" s="43"/>
      <c r="G755" s="44"/>
      <c r="H755" s="43"/>
      <c r="I755" s="44" t="n">
        <f aca="false">IF(F755="",0,F755*G755)</f>
        <v>0</v>
      </c>
      <c r="N755" s="44" t="str">
        <f aca="false">IF(AND(M755&lt;&gt;"",F755&lt;&gt;""),F755*M755,"")</f>
        <v/>
      </c>
    </row>
    <row r="756" customFormat="false" ht="15" hidden="false" customHeight="false" outlineLevel="0" collapsed="false">
      <c r="A756" s="37" t="str">
        <f aca="false">IF(B756="","",ROW()-3)</f>
        <v/>
      </c>
      <c r="B756" s="38"/>
      <c r="C756" s="39"/>
      <c r="D756" s="39"/>
      <c r="E756" s="39"/>
      <c r="F756" s="39"/>
      <c r="G756" s="40"/>
      <c r="H756" s="39"/>
      <c r="I756" s="40" t="n">
        <f aca="false">IF(F756="",0,F756*G756)</f>
        <v>0</v>
      </c>
      <c r="J756" s="39"/>
      <c r="K756" s="39"/>
      <c r="L756" s="39"/>
      <c r="M756" s="39"/>
      <c r="N756" s="40" t="str">
        <f aca="false">IF(AND(M756&lt;&gt;"",F756&lt;&gt;""),F756*M756,"")</f>
        <v/>
      </c>
    </row>
    <row r="757" customFormat="false" ht="15" hidden="false" customHeight="false" outlineLevel="0" collapsed="false">
      <c r="A757" s="41" t="str">
        <f aca="false">IF(B757="","",ROW()-3)</f>
        <v/>
      </c>
      <c r="B757" s="42"/>
      <c r="C757" s="43"/>
      <c r="G757" s="44"/>
      <c r="H757" s="43"/>
      <c r="I757" s="44" t="n">
        <f aca="false">IF(F757="",0,F757*G757)</f>
        <v>0</v>
      </c>
      <c r="N757" s="44" t="str">
        <f aca="false">IF(AND(M757&lt;&gt;"",F757&lt;&gt;""),F757*M757,"")</f>
        <v/>
      </c>
    </row>
    <row r="758" customFormat="false" ht="15" hidden="false" customHeight="false" outlineLevel="0" collapsed="false">
      <c r="A758" s="37" t="str">
        <f aca="false">IF(B758="","",ROW()-3)</f>
        <v/>
      </c>
      <c r="B758" s="38"/>
      <c r="C758" s="39"/>
      <c r="D758" s="39"/>
      <c r="E758" s="39"/>
      <c r="F758" s="39"/>
      <c r="G758" s="40"/>
      <c r="H758" s="39"/>
      <c r="I758" s="40" t="n">
        <f aca="false">IF(F758="",0,F758*G758)</f>
        <v>0</v>
      </c>
      <c r="J758" s="39"/>
      <c r="K758" s="39"/>
      <c r="L758" s="39"/>
      <c r="M758" s="39"/>
      <c r="N758" s="40" t="str">
        <f aca="false">IF(AND(M758&lt;&gt;"",F758&lt;&gt;""),F758*M758,"")</f>
        <v/>
      </c>
    </row>
    <row r="759" customFormat="false" ht="15" hidden="false" customHeight="false" outlineLevel="0" collapsed="false">
      <c r="A759" s="41" t="str">
        <f aca="false">IF(B759="","",ROW()-3)</f>
        <v/>
      </c>
      <c r="B759" s="42"/>
      <c r="C759" s="43"/>
      <c r="G759" s="44"/>
      <c r="H759" s="43"/>
      <c r="I759" s="44" t="n">
        <f aca="false">IF(F759="",0,F759*G759)</f>
        <v>0</v>
      </c>
      <c r="N759" s="44" t="str">
        <f aca="false">IF(AND(M759&lt;&gt;"",F759&lt;&gt;""),F759*M759,"")</f>
        <v/>
      </c>
    </row>
    <row r="760" customFormat="false" ht="15" hidden="false" customHeight="false" outlineLevel="0" collapsed="false">
      <c r="A760" s="37" t="str">
        <f aca="false">IF(B760="","",ROW()-3)</f>
        <v/>
      </c>
      <c r="B760" s="38"/>
      <c r="C760" s="39"/>
      <c r="D760" s="39"/>
      <c r="E760" s="39"/>
      <c r="F760" s="39"/>
      <c r="G760" s="40"/>
      <c r="H760" s="39"/>
      <c r="I760" s="40" t="n">
        <f aca="false">IF(F760="",0,F760*G760)</f>
        <v>0</v>
      </c>
      <c r="J760" s="39"/>
      <c r="K760" s="39"/>
      <c r="L760" s="39"/>
      <c r="M760" s="39"/>
      <c r="N760" s="40" t="str">
        <f aca="false">IF(AND(M760&lt;&gt;"",F760&lt;&gt;""),F760*M760,"")</f>
        <v/>
      </c>
    </row>
    <row r="761" customFormat="false" ht="15" hidden="false" customHeight="false" outlineLevel="0" collapsed="false">
      <c r="A761" s="41" t="str">
        <f aca="false">IF(B761="","",ROW()-3)</f>
        <v/>
      </c>
      <c r="B761" s="42"/>
      <c r="C761" s="43"/>
      <c r="G761" s="44"/>
      <c r="H761" s="43"/>
      <c r="I761" s="44" t="n">
        <f aca="false">IF(F761="",0,F761*G761)</f>
        <v>0</v>
      </c>
      <c r="N761" s="44" t="str">
        <f aca="false">IF(AND(M761&lt;&gt;"",F761&lt;&gt;""),F761*M761,"")</f>
        <v/>
      </c>
    </row>
    <row r="762" customFormat="false" ht="15" hidden="false" customHeight="false" outlineLevel="0" collapsed="false">
      <c r="A762" s="37" t="str">
        <f aca="false">IF(B762="","",ROW()-3)</f>
        <v/>
      </c>
      <c r="B762" s="38"/>
      <c r="C762" s="39"/>
      <c r="D762" s="39"/>
      <c r="E762" s="39"/>
      <c r="F762" s="39"/>
      <c r="G762" s="40"/>
      <c r="H762" s="39"/>
      <c r="I762" s="40" t="n">
        <f aca="false">IF(F762="",0,F762*G762)</f>
        <v>0</v>
      </c>
      <c r="J762" s="39"/>
      <c r="K762" s="39"/>
      <c r="L762" s="39"/>
      <c r="M762" s="39"/>
      <c r="N762" s="40" t="str">
        <f aca="false">IF(AND(M762&lt;&gt;"",F762&lt;&gt;""),F762*M762,"")</f>
        <v/>
      </c>
    </row>
    <row r="763" customFormat="false" ht="15" hidden="false" customHeight="false" outlineLevel="0" collapsed="false">
      <c r="A763" s="41" t="str">
        <f aca="false">IF(B763="","",ROW()-3)</f>
        <v/>
      </c>
      <c r="B763" s="42"/>
      <c r="C763" s="43"/>
      <c r="G763" s="44"/>
      <c r="H763" s="43"/>
      <c r="I763" s="44" t="n">
        <f aca="false">IF(F763="",0,F763*G763)</f>
        <v>0</v>
      </c>
      <c r="N763" s="44" t="str">
        <f aca="false">IF(AND(M763&lt;&gt;"",F763&lt;&gt;""),F763*M763,"")</f>
        <v/>
      </c>
    </row>
    <row r="764" customFormat="false" ht="15" hidden="false" customHeight="false" outlineLevel="0" collapsed="false">
      <c r="A764" s="37" t="str">
        <f aca="false">IF(B764="","",ROW()-3)</f>
        <v/>
      </c>
      <c r="B764" s="38"/>
      <c r="C764" s="39"/>
      <c r="D764" s="39"/>
      <c r="E764" s="39"/>
      <c r="F764" s="39"/>
      <c r="G764" s="40"/>
      <c r="H764" s="39"/>
      <c r="I764" s="40" t="n">
        <f aca="false">IF(F764="",0,F764*G764)</f>
        <v>0</v>
      </c>
      <c r="J764" s="39"/>
      <c r="K764" s="39"/>
      <c r="L764" s="39"/>
      <c r="M764" s="39"/>
      <c r="N764" s="40" t="str">
        <f aca="false">IF(AND(M764&lt;&gt;"",F764&lt;&gt;""),F764*M764,"")</f>
        <v/>
      </c>
    </row>
    <row r="765" customFormat="false" ht="15" hidden="false" customHeight="false" outlineLevel="0" collapsed="false">
      <c r="A765" s="41" t="str">
        <f aca="false">IF(B765="","",ROW()-3)</f>
        <v/>
      </c>
      <c r="B765" s="42"/>
      <c r="C765" s="43"/>
      <c r="G765" s="44"/>
      <c r="H765" s="43"/>
      <c r="I765" s="44" t="n">
        <f aca="false">IF(F765="",0,F765*G765)</f>
        <v>0</v>
      </c>
      <c r="N765" s="44" t="str">
        <f aca="false">IF(AND(M765&lt;&gt;"",F765&lt;&gt;""),F765*M765,"")</f>
        <v/>
      </c>
    </row>
    <row r="766" customFormat="false" ht="15" hidden="false" customHeight="false" outlineLevel="0" collapsed="false">
      <c r="A766" s="37" t="str">
        <f aca="false">IF(B766="","",ROW()-3)</f>
        <v/>
      </c>
      <c r="B766" s="38"/>
      <c r="C766" s="39"/>
      <c r="D766" s="39"/>
      <c r="E766" s="39"/>
      <c r="F766" s="39"/>
      <c r="G766" s="40"/>
      <c r="H766" s="39"/>
      <c r="I766" s="40" t="n">
        <f aca="false">IF(F766="",0,F766*G766)</f>
        <v>0</v>
      </c>
      <c r="J766" s="39"/>
      <c r="K766" s="39"/>
      <c r="L766" s="39"/>
      <c r="M766" s="39"/>
      <c r="N766" s="40" t="str">
        <f aca="false">IF(AND(M766&lt;&gt;"",F766&lt;&gt;""),F766*M766,"")</f>
        <v/>
      </c>
    </row>
    <row r="767" customFormat="false" ht="15" hidden="false" customHeight="false" outlineLevel="0" collapsed="false">
      <c r="A767" s="41" t="str">
        <f aca="false">IF(B767="","",ROW()-3)</f>
        <v/>
      </c>
      <c r="B767" s="42"/>
      <c r="C767" s="43"/>
      <c r="G767" s="44"/>
      <c r="H767" s="43"/>
      <c r="I767" s="44" t="n">
        <f aca="false">IF(F767="",0,F767*G767)</f>
        <v>0</v>
      </c>
      <c r="N767" s="44" t="str">
        <f aca="false">IF(AND(M767&lt;&gt;"",F767&lt;&gt;""),F767*M767,"")</f>
        <v/>
      </c>
    </row>
    <row r="768" customFormat="false" ht="15" hidden="false" customHeight="false" outlineLevel="0" collapsed="false">
      <c r="A768" s="37" t="str">
        <f aca="false">IF(B768="","",ROW()-3)</f>
        <v/>
      </c>
      <c r="B768" s="38"/>
      <c r="C768" s="39"/>
      <c r="D768" s="39"/>
      <c r="E768" s="39"/>
      <c r="F768" s="39"/>
      <c r="G768" s="40"/>
      <c r="H768" s="39"/>
      <c r="I768" s="40" t="n">
        <f aca="false">IF(F768="",0,F768*G768)</f>
        <v>0</v>
      </c>
      <c r="J768" s="39"/>
      <c r="K768" s="39"/>
      <c r="L768" s="39"/>
      <c r="M768" s="39"/>
      <c r="N768" s="40" t="str">
        <f aca="false">IF(AND(M768&lt;&gt;"",F768&lt;&gt;""),F768*M768,"")</f>
        <v/>
      </c>
    </row>
    <row r="769" customFormat="false" ht="15" hidden="false" customHeight="false" outlineLevel="0" collapsed="false">
      <c r="A769" s="41" t="str">
        <f aca="false">IF(B769="","",ROW()-3)</f>
        <v/>
      </c>
      <c r="B769" s="42"/>
      <c r="C769" s="43"/>
      <c r="G769" s="44"/>
      <c r="H769" s="43"/>
      <c r="I769" s="44" t="n">
        <f aca="false">IF(F769="",0,F769*G769)</f>
        <v>0</v>
      </c>
      <c r="N769" s="44" t="str">
        <f aca="false">IF(AND(M769&lt;&gt;"",F769&lt;&gt;""),F769*M769,"")</f>
        <v/>
      </c>
    </row>
    <row r="770" customFormat="false" ht="15" hidden="false" customHeight="false" outlineLevel="0" collapsed="false">
      <c r="A770" s="37" t="str">
        <f aca="false">IF(B770="","",ROW()-3)</f>
        <v/>
      </c>
      <c r="B770" s="38"/>
      <c r="C770" s="39"/>
      <c r="D770" s="39"/>
      <c r="E770" s="39"/>
      <c r="F770" s="39"/>
      <c r="G770" s="40"/>
      <c r="H770" s="39"/>
      <c r="I770" s="40" t="n">
        <f aca="false">IF(F770="",0,F770*G770)</f>
        <v>0</v>
      </c>
      <c r="J770" s="39"/>
      <c r="K770" s="39"/>
      <c r="L770" s="39"/>
      <c r="M770" s="39"/>
      <c r="N770" s="40" t="str">
        <f aca="false">IF(AND(M770&lt;&gt;"",F770&lt;&gt;""),F770*M770,"")</f>
        <v/>
      </c>
    </row>
    <row r="771" customFormat="false" ht="15" hidden="false" customHeight="false" outlineLevel="0" collapsed="false">
      <c r="A771" s="41" t="str">
        <f aca="false">IF(B771="","",ROW()-3)</f>
        <v/>
      </c>
      <c r="B771" s="42"/>
      <c r="C771" s="43"/>
      <c r="G771" s="44"/>
      <c r="H771" s="43"/>
      <c r="I771" s="44" t="n">
        <f aca="false">IF(F771="",0,F771*G771)</f>
        <v>0</v>
      </c>
      <c r="N771" s="44" t="str">
        <f aca="false">IF(AND(M771&lt;&gt;"",F771&lt;&gt;""),F771*M771,"")</f>
        <v/>
      </c>
    </row>
    <row r="772" customFormat="false" ht="15" hidden="false" customHeight="false" outlineLevel="0" collapsed="false">
      <c r="A772" s="37" t="str">
        <f aca="false">IF(B772="","",ROW()-3)</f>
        <v/>
      </c>
      <c r="B772" s="38"/>
      <c r="C772" s="39"/>
      <c r="D772" s="39"/>
      <c r="E772" s="39"/>
      <c r="F772" s="39"/>
      <c r="G772" s="40"/>
      <c r="H772" s="39"/>
      <c r="I772" s="40" t="n">
        <f aca="false">IF(F772="",0,F772*G772)</f>
        <v>0</v>
      </c>
      <c r="J772" s="39"/>
      <c r="K772" s="39"/>
      <c r="L772" s="39"/>
      <c r="M772" s="39"/>
      <c r="N772" s="40" t="str">
        <f aca="false">IF(AND(M772&lt;&gt;"",F772&lt;&gt;""),F772*M772,"")</f>
        <v/>
      </c>
    </row>
    <row r="773" customFormat="false" ht="15" hidden="false" customHeight="false" outlineLevel="0" collapsed="false">
      <c r="A773" s="41" t="str">
        <f aca="false">IF(B773="","",ROW()-3)</f>
        <v/>
      </c>
      <c r="B773" s="42"/>
      <c r="C773" s="43"/>
      <c r="G773" s="44"/>
      <c r="H773" s="43"/>
      <c r="I773" s="44" t="n">
        <f aca="false">IF(F773="",0,F773*G773)</f>
        <v>0</v>
      </c>
      <c r="N773" s="44" t="str">
        <f aca="false">IF(AND(M773&lt;&gt;"",F773&lt;&gt;""),F773*M773,"")</f>
        <v/>
      </c>
    </row>
    <row r="774" customFormat="false" ht="15" hidden="false" customHeight="false" outlineLevel="0" collapsed="false">
      <c r="A774" s="37" t="str">
        <f aca="false">IF(B774="","",ROW()-3)</f>
        <v/>
      </c>
      <c r="B774" s="38"/>
      <c r="C774" s="39"/>
      <c r="D774" s="39"/>
      <c r="E774" s="39"/>
      <c r="F774" s="39"/>
      <c r="G774" s="40"/>
      <c r="H774" s="39"/>
      <c r="I774" s="40" t="n">
        <f aca="false">IF(F774="",0,F774*G774)</f>
        <v>0</v>
      </c>
      <c r="J774" s="39"/>
      <c r="K774" s="39"/>
      <c r="L774" s="39"/>
      <c r="M774" s="39"/>
      <c r="N774" s="40" t="str">
        <f aca="false">IF(AND(M774&lt;&gt;"",F774&lt;&gt;""),F774*M774,"")</f>
        <v/>
      </c>
    </row>
    <row r="775" customFormat="false" ht="15" hidden="false" customHeight="false" outlineLevel="0" collapsed="false">
      <c r="A775" s="41" t="str">
        <f aca="false">IF(B775="","",ROW()-3)</f>
        <v/>
      </c>
      <c r="B775" s="42"/>
      <c r="C775" s="43"/>
      <c r="G775" s="44"/>
      <c r="H775" s="43"/>
      <c r="I775" s="44" t="n">
        <f aca="false">IF(F775="",0,F775*G775)</f>
        <v>0</v>
      </c>
      <c r="N775" s="44" t="str">
        <f aca="false">IF(AND(M775&lt;&gt;"",F775&lt;&gt;""),F775*M775,"")</f>
        <v/>
      </c>
    </row>
    <row r="776" customFormat="false" ht="15" hidden="false" customHeight="false" outlineLevel="0" collapsed="false">
      <c r="A776" s="37" t="str">
        <f aca="false">IF(B776="","",ROW()-3)</f>
        <v/>
      </c>
      <c r="B776" s="38"/>
      <c r="C776" s="39"/>
      <c r="D776" s="39"/>
      <c r="E776" s="39"/>
      <c r="F776" s="39"/>
      <c r="G776" s="40"/>
      <c r="H776" s="39"/>
      <c r="I776" s="40" t="n">
        <f aca="false">IF(F776="",0,F776*G776)</f>
        <v>0</v>
      </c>
      <c r="J776" s="39"/>
      <c r="K776" s="39"/>
      <c r="L776" s="39"/>
      <c r="M776" s="39"/>
      <c r="N776" s="40" t="str">
        <f aca="false">IF(AND(M776&lt;&gt;"",F776&lt;&gt;""),F776*M776,"")</f>
        <v/>
      </c>
    </row>
    <row r="777" customFormat="false" ht="15" hidden="false" customHeight="false" outlineLevel="0" collapsed="false">
      <c r="A777" s="41" t="str">
        <f aca="false">IF(B777="","",ROW()-3)</f>
        <v/>
      </c>
      <c r="B777" s="42"/>
      <c r="C777" s="43"/>
      <c r="G777" s="44"/>
      <c r="H777" s="43"/>
      <c r="I777" s="44" t="n">
        <f aca="false">IF(F777="",0,F777*G777)</f>
        <v>0</v>
      </c>
      <c r="N777" s="44" t="str">
        <f aca="false">IF(AND(M777&lt;&gt;"",F777&lt;&gt;""),F777*M777,"")</f>
        <v/>
      </c>
    </row>
    <row r="778" customFormat="false" ht="15" hidden="false" customHeight="false" outlineLevel="0" collapsed="false">
      <c r="A778" s="37" t="str">
        <f aca="false">IF(B778="","",ROW()-3)</f>
        <v/>
      </c>
      <c r="B778" s="38"/>
      <c r="C778" s="39"/>
      <c r="D778" s="39"/>
      <c r="E778" s="39"/>
      <c r="F778" s="39"/>
      <c r="G778" s="40"/>
      <c r="H778" s="39"/>
      <c r="I778" s="40" t="n">
        <f aca="false">IF(F778="",0,F778*G778)</f>
        <v>0</v>
      </c>
      <c r="J778" s="39"/>
      <c r="K778" s="39"/>
      <c r="L778" s="39"/>
      <c r="M778" s="39"/>
      <c r="N778" s="40" t="str">
        <f aca="false">IF(AND(M778&lt;&gt;"",F778&lt;&gt;""),F778*M778,"")</f>
        <v/>
      </c>
    </row>
    <row r="779" customFormat="false" ht="15" hidden="false" customHeight="false" outlineLevel="0" collapsed="false">
      <c r="A779" s="41" t="str">
        <f aca="false">IF(B779="","",ROW()-3)</f>
        <v/>
      </c>
      <c r="B779" s="42"/>
      <c r="C779" s="43"/>
      <c r="G779" s="44"/>
      <c r="H779" s="43"/>
      <c r="I779" s="44" t="n">
        <f aca="false">IF(F779="",0,F779*G779)</f>
        <v>0</v>
      </c>
      <c r="N779" s="44" t="str">
        <f aca="false">IF(AND(M779&lt;&gt;"",F779&lt;&gt;""),F779*M779,"")</f>
        <v/>
      </c>
    </row>
    <row r="780" customFormat="false" ht="15" hidden="false" customHeight="false" outlineLevel="0" collapsed="false">
      <c r="A780" s="37" t="str">
        <f aca="false">IF(B780="","",ROW()-3)</f>
        <v/>
      </c>
      <c r="B780" s="38"/>
      <c r="C780" s="39"/>
      <c r="D780" s="39"/>
      <c r="E780" s="39"/>
      <c r="F780" s="39"/>
      <c r="G780" s="40"/>
      <c r="H780" s="39"/>
      <c r="I780" s="40" t="n">
        <f aca="false">IF(F780="",0,F780*G780)</f>
        <v>0</v>
      </c>
      <c r="J780" s="39"/>
      <c r="K780" s="39"/>
      <c r="L780" s="39"/>
      <c r="M780" s="39"/>
      <c r="N780" s="40" t="str">
        <f aca="false">IF(AND(M780&lt;&gt;"",F780&lt;&gt;""),F780*M780,"")</f>
        <v/>
      </c>
    </row>
    <row r="781" customFormat="false" ht="15" hidden="false" customHeight="false" outlineLevel="0" collapsed="false">
      <c r="A781" s="41" t="str">
        <f aca="false">IF(B781="","",ROW()-3)</f>
        <v/>
      </c>
      <c r="B781" s="42"/>
      <c r="C781" s="43"/>
      <c r="G781" s="44"/>
      <c r="H781" s="43"/>
      <c r="I781" s="44" t="n">
        <f aca="false">IF(F781="",0,F781*G781)</f>
        <v>0</v>
      </c>
      <c r="N781" s="44" t="str">
        <f aca="false">IF(AND(M781&lt;&gt;"",F781&lt;&gt;""),F781*M781,"")</f>
        <v/>
      </c>
    </row>
    <row r="782" customFormat="false" ht="15" hidden="false" customHeight="false" outlineLevel="0" collapsed="false">
      <c r="A782" s="37" t="str">
        <f aca="false">IF(B782="","",ROW()-3)</f>
        <v/>
      </c>
      <c r="B782" s="38"/>
      <c r="C782" s="39"/>
      <c r="D782" s="39"/>
      <c r="E782" s="39"/>
      <c r="F782" s="39"/>
      <c r="G782" s="40"/>
      <c r="H782" s="39"/>
      <c r="I782" s="40" t="n">
        <f aca="false">IF(F782="",0,F782*G782)</f>
        <v>0</v>
      </c>
      <c r="J782" s="39"/>
      <c r="K782" s="39"/>
      <c r="L782" s="39"/>
      <c r="M782" s="39"/>
      <c r="N782" s="40" t="str">
        <f aca="false">IF(AND(M782&lt;&gt;"",F782&lt;&gt;""),F782*M782,"")</f>
        <v/>
      </c>
    </row>
    <row r="783" customFormat="false" ht="15" hidden="false" customHeight="false" outlineLevel="0" collapsed="false">
      <c r="A783" s="41" t="str">
        <f aca="false">IF(B783="","",ROW()-3)</f>
        <v/>
      </c>
      <c r="B783" s="42"/>
      <c r="C783" s="43"/>
      <c r="G783" s="44"/>
      <c r="H783" s="43"/>
      <c r="I783" s="44" t="n">
        <f aca="false">IF(F783="",0,F783*G783)</f>
        <v>0</v>
      </c>
      <c r="N783" s="44" t="str">
        <f aca="false">IF(AND(M783&lt;&gt;"",F783&lt;&gt;""),F783*M783,"")</f>
        <v/>
      </c>
    </row>
    <row r="784" customFormat="false" ht="15" hidden="false" customHeight="false" outlineLevel="0" collapsed="false">
      <c r="A784" s="37" t="str">
        <f aca="false">IF(B784="","",ROW()-3)</f>
        <v/>
      </c>
      <c r="B784" s="38"/>
      <c r="C784" s="39"/>
      <c r="D784" s="39"/>
      <c r="E784" s="39"/>
      <c r="F784" s="39"/>
      <c r="G784" s="40"/>
      <c r="H784" s="39"/>
      <c r="I784" s="40" t="n">
        <f aca="false">IF(F784="",0,F784*G784)</f>
        <v>0</v>
      </c>
      <c r="J784" s="39"/>
      <c r="K784" s="39"/>
      <c r="L784" s="39"/>
      <c r="M784" s="39"/>
      <c r="N784" s="40" t="str">
        <f aca="false">IF(AND(M784&lt;&gt;"",F784&lt;&gt;""),F784*M784,"")</f>
        <v/>
      </c>
    </row>
    <row r="785" customFormat="false" ht="15" hidden="false" customHeight="false" outlineLevel="0" collapsed="false">
      <c r="A785" s="41" t="str">
        <f aca="false">IF(B785="","",ROW()-3)</f>
        <v/>
      </c>
      <c r="B785" s="42"/>
      <c r="C785" s="43"/>
      <c r="G785" s="44"/>
      <c r="H785" s="43"/>
      <c r="I785" s="44" t="n">
        <f aca="false">IF(F785="",0,F785*G785)</f>
        <v>0</v>
      </c>
      <c r="N785" s="44" t="str">
        <f aca="false">IF(AND(M785&lt;&gt;"",F785&lt;&gt;""),F785*M785,"")</f>
        <v/>
      </c>
    </row>
    <row r="786" customFormat="false" ht="15" hidden="false" customHeight="false" outlineLevel="0" collapsed="false">
      <c r="A786" s="37" t="str">
        <f aca="false">IF(B786="","",ROW()-3)</f>
        <v/>
      </c>
      <c r="B786" s="38"/>
      <c r="C786" s="39"/>
      <c r="D786" s="39"/>
      <c r="E786" s="39"/>
      <c r="F786" s="39"/>
      <c r="G786" s="40"/>
      <c r="H786" s="39"/>
      <c r="I786" s="40" t="n">
        <f aca="false">IF(F786="",0,F786*G786)</f>
        <v>0</v>
      </c>
      <c r="J786" s="39"/>
      <c r="K786" s="39"/>
      <c r="L786" s="39"/>
      <c r="M786" s="39"/>
      <c r="N786" s="40" t="str">
        <f aca="false">IF(AND(M786&lt;&gt;"",F786&lt;&gt;""),F786*M786,"")</f>
        <v/>
      </c>
    </row>
    <row r="787" customFormat="false" ht="15" hidden="false" customHeight="false" outlineLevel="0" collapsed="false">
      <c r="A787" s="41" t="str">
        <f aca="false">IF(B787="","",ROW()-3)</f>
        <v/>
      </c>
      <c r="B787" s="42"/>
      <c r="C787" s="43"/>
      <c r="G787" s="44"/>
      <c r="H787" s="43"/>
      <c r="I787" s="44" t="n">
        <f aca="false">IF(F787="",0,F787*G787)</f>
        <v>0</v>
      </c>
      <c r="N787" s="44" t="str">
        <f aca="false">IF(AND(M787&lt;&gt;"",F787&lt;&gt;""),F787*M787,"")</f>
        <v/>
      </c>
    </row>
    <row r="788" customFormat="false" ht="15" hidden="false" customHeight="false" outlineLevel="0" collapsed="false">
      <c r="A788" s="37" t="str">
        <f aca="false">IF(B788="","",ROW()-3)</f>
        <v/>
      </c>
      <c r="B788" s="38"/>
      <c r="C788" s="39"/>
      <c r="D788" s="39"/>
      <c r="E788" s="39"/>
      <c r="F788" s="39"/>
      <c r="G788" s="40"/>
      <c r="H788" s="39"/>
      <c r="I788" s="40" t="n">
        <f aca="false">IF(F788="",0,F788*G788)</f>
        <v>0</v>
      </c>
      <c r="J788" s="39"/>
      <c r="K788" s="39"/>
      <c r="L788" s="39"/>
      <c r="M788" s="39"/>
      <c r="N788" s="40" t="str">
        <f aca="false">IF(AND(M788&lt;&gt;"",F788&lt;&gt;""),F788*M788,"")</f>
        <v/>
      </c>
    </row>
    <row r="789" customFormat="false" ht="15" hidden="false" customHeight="false" outlineLevel="0" collapsed="false">
      <c r="A789" s="41" t="str">
        <f aca="false">IF(B789="","",ROW()-3)</f>
        <v/>
      </c>
      <c r="B789" s="42"/>
      <c r="C789" s="43"/>
      <c r="G789" s="44"/>
      <c r="H789" s="43"/>
      <c r="I789" s="44" t="n">
        <f aca="false">IF(F789="",0,F789*G789)</f>
        <v>0</v>
      </c>
      <c r="N789" s="44" t="str">
        <f aca="false">IF(AND(M789&lt;&gt;"",F789&lt;&gt;""),F789*M789,"")</f>
        <v/>
      </c>
    </row>
    <row r="790" customFormat="false" ht="15" hidden="false" customHeight="false" outlineLevel="0" collapsed="false">
      <c r="A790" s="37" t="str">
        <f aca="false">IF(B790="","",ROW()-3)</f>
        <v/>
      </c>
      <c r="B790" s="38"/>
      <c r="C790" s="39"/>
      <c r="D790" s="39"/>
      <c r="E790" s="39"/>
      <c r="F790" s="39"/>
      <c r="G790" s="40"/>
      <c r="H790" s="39"/>
      <c r="I790" s="40" t="n">
        <f aca="false">IF(F790="",0,F790*G790)</f>
        <v>0</v>
      </c>
      <c r="J790" s="39"/>
      <c r="K790" s="39"/>
      <c r="L790" s="39"/>
      <c r="M790" s="39"/>
      <c r="N790" s="40" t="str">
        <f aca="false">IF(AND(M790&lt;&gt;"",F790&lt;&gt;""),F790*M790,"")</f>
        <v/>
      </c>
    </row>
    <row r="791" customFormat="false" ht="15" hidden="false" customHeight="false" outlineLevel="0" collapsed="false">
      <c r="A791" s="41" t="str">
        <f aca="false">IF(B791="","",ROW()-3)</f>
        <v/>
      </c>
      <c r="B791" s="42"/>
      <c r="C791" s="43"/>
      <c r="G791" s="44"/>
      <c r="H791" s="43"/>
      <c r="I791" s="44" t="n">
        <f aca="false">IF(F791="",0,F791*G791)</f>
        <v>0</v>
      </c>
      <c r="N791" s="44" t="str">
        <f aca="false">IF(AND(M791&lt;&gt;"",F791&lt;&gt;""),F791*M791,"")</f>
        <v/>
      </c>
    </row>
    <row r="792" customFormat="false" ht="15" hidden="false" customHeight="false" outlineLevel="0" collapsed="false">
      <c r="A792" s="37" t="str">
        <f aca="false">IF(B792="","",ROW()-3)</f>
        <v/>
      </c>
      <c r="B792" s="38"/>
      <c r="C792" s="39"/>
      <c r="D792" s="39"/>
      <c r="E792" s="39"/>
      <c r="F792" s="39"/>
      <c r="G792" s="40"/>
      <c r="H792" s="39"/>
      <c r="I792" s="40" t="n">
        <f aca="false">IF(F792="",0,F792*G792)</f>
        <v>0</v>
      </c>
      <c r="J792" s="39"/>
      <c r="K792" s="39"/>
      <c r="L792" s="39"/>
      <c r="M792" s="39"/>
      <c r="N792" s="40" t="str">
        <f aca="false">IF(AND(M792&lt;&gt;"",F792&lt;&gt;""),F792*M792,"")</f>
        <v/>
      </c>
    </row>
    <row r="793" customFormat="false" ht="15" hidden="false" customHeight="false" outlineLevel="0" collapsed="false">
      <c r="A793" s="41" t="str">
        <f aca="false">IF(B793="","",ROW()-3)</f>
        <v/>
      </c>
      <c r="B793" s="42"/>
      <c r="C793" s="43"/>
      <c r="G793" s="44"/>
      <c r="H793" s="43"/>
      <c r="I793" s="44" t="n">
        <f aca="false">IF(F793="",0,F793*G793)</f>
        <v>0</v>
      </c>
      <c r="N793" s="44" t="str">
        <f aca="false">IF(AND(M793&lt;&gt;"",F793&lt;&gt;""),F793*M793,"")</f>
        <v/>
      </c>
    </row>
    <row r="794" customFormat="false" ht="15" hidden="false" customHeight="false" outlineLevel="0" collapsed="false">
      <c r="A794" s="37" t="str">
        <f aca="false">IF(B794="","",ROW()-3)</f>
        <v/>
      </c>
      <c r="B794" s="38"/>
      <c r="C794" s="39"/>
      <c r="D794" s="39"/>
      <c r="E794" s="39"/>
      <c r="F794" s="39"/>
      <c r="G794" s="40"/>
      <c r="H794" s="39"/>
      <c r="I794" s="40" t="n">
        <f aca="false">IF(F794="",0,F794*G794)</f>
        <v>0</v>
      </c>
      <c r="J794" s="39"/>
      <c r="K794" s="39"/>
      <c r="L794" s="39"/>
      <c r="M794" s="39"/>
      <c r="N794" s="40" t="str">
        <f aca="false">IF(AND(M794&lt;&gt;"",F794&lt;&gt;""),F794*M794,"")</f>
        <v/>
      </c>
    </row>
    <row r="795" customFormat="false" ht="15" hidden="false" customHeight="false" outlineLevel="0" collapsed="false">
      <c r="A795" s="41" t="str">
        <f aca="false">IF(B795="","",ROW()-3)</f>
        <v/>
      </c>
      <c r="B795" s="42"/>
      <c r="C795" s="43"/>
      <c r="G795" s="44"/>
      <c r="H795" s="43"/>
      <c r="I795" s="44" t="n">
        <f aca="false">IF(F795="",0,F795*G795)</f>
        <v>0</v>
      </c>
      <c r="N795" s="44" t="str">
        <f aca="false">IF(AND(M795&lt;&gt;"",F795&lt;&gt;""),F795*M795,"")</f>
        <v/>
      </c>
    </row>
    <row r="796" customFormat="false" ht="15" hidden="false" customHeight="false" outlineLevel="0" collapsed="false">
      <c r="A796" s="37" t="str">
        <f aca="false">IF(B796="","",ROW()-3)</f>
        <v/>
      </c>
      <c r="B796" s="38"/>
      <c r="C796" s="39"/>
      <c r="D796" s="39"/>
      <c r="E796" s="39"/>
      <c r="F796" s="39"/>
      <c r="G796" s="40"/>
      <c r="H796" s="39"/>
      <c r="I796" s="40" t="n">
        <f aca="false">IF(F796="",0,F796*G796)</f>
        <v>0</v>
      </c>
      <c r="J796" s="39"/>
      <c r="K796" s="39"/>
      <c r="L796" s="39"/>
      <c r="M796" s="39"/>
      <c r="N796" s="40" t="str">
        <f aca="false">IF(AND(M796&lt;&gt;"",F796&lt;&gt;""),F796*M796,"")</f>
        <v/>
      </c>
    </row>
    <row r="797" customFormat="false" ht="15" hidden="false" customHeight="false" outlineLevel="0" collapsed="false">
      <c r="A797" s="41" t="str">
        <f aca="false">IF(B797="","",ROW()-3)</f>
        <v/>
      </c>
      <c r="B797" s="42"/>
      <c r="C797" s="43"/>
      <c r="G797" s="44"/>
      <c r="H797" s="43"/>
      <c r="I797" s="44" t="n">
        <f aca="false">IF(F797="",0,F797*G797)</f>
        <v>0</v>
      </c>
      <c r="N797" s="44" t="str">
        <f aca="false">IF(AND(M797&lt;&gt;"",F797&lt;&gt;""),F797*M797,"")</f>
        <v/>
      </c>
    </row>
    <row r="798" customFormat="false" ht="15" hidden="false" customHeight="false" outlineLevel="0" collapsed="false">
      <c r="A798" s="37" t="str">
        <f aca="false">IF(B798="","",ROW()-3)</f>
        <v/>
      </c>
      <c r="B798" s="38"/>
      <c r="C798" s="39"/>
      <c r="D798" s="39"/>
      <c r="E798" s="39"/>
      <c r="F798" s="39"/>
      <c r="G798" s="40"/>
      <c r="H798" s="39"/>
      <c r="I798" s="40" t="n">
        <f aca="false">IF(F798="",0,F798*G798)</f>
        <v>0</v>
      </c>
      <c r="J798" s="39"/>
      <c r="K798" s="39"/>
      <c r="L798" s="39"/>
      <c r="M798" s="39"/>
      <c r="N798" s="40" t="str">
        <f aca="false">IF(AND(M798&lt;&gt;"",F798&lt;&gt;""),F798*M798,"")</f>
        <v/>
      </c>
    </row>
    <row r="799" customFormat="false" ht="15" hidden="false" customHeight="false" outlineLevel="0" collapsed="false">
      <c r="A799" s="41" t="str">
        <f aca="false">IF(B799="","",ROW()-3)</f>
        <v/>
      </c>
      <c r="B799" s="42"/>
      <c r="C799" s="43"/>
      <c r="G799" s="44"/>
      <c r="H799" s="43"/>
      <c r="I799" s="44" t="n">
        <f aca="false">IF(F799="",0,F799*G799)</f>
        <v>0</v>
      </c>
      <c r="N799" s="44" t="str">
        <f aca="false">IF(AND(M799&lt;&gt;"",F799&lt;&gt;""),F799*M799,"")</f>
        <v/>
      </c>
    </row>
    <row r="800" customFormat="false" ht="15" hidden="false" customHeight="false" outlineLevel="0" collapsed="false">
      <c r="A800" s="37" t="str">
        <f aca="false">IF(B800="","",ROW()-3)</f>
        <v/>
      </c>
      <c r="B800" s="38"/>
      <c r="C800" s="39"/>
      <c r="D800" s="39"/>
      <c r="E800" s="39"/>
      <c r="F800" s="39"/>
      <c r="G800" s="40"/>
      <c r="H800" s="39"/>
      <c r="I800" s="40" t="n">
        <f aca="false">IF(F800="",0,F800*G800)</f>
        <v>0</v>
      </c>
      <c r="J800" s="39"/>
      <c r="K800" s="39"/>
      <c r="L800" s="39"/>
      <c r="M800" s="39"/>
      <c r="N800" s="40" t="str">
        <f aca="false">IF(AND(M800&lt;&gt;"",F800&lt;&gt;""),F800*M800,"")</f>
        <v/>
      </c>
    </row>
    <row r="801" customFormat="false" ht="15" hidden="false" customHeight="false" outlineLevel="0" collapsed="false">
      <c r="A801" s="41" t="str">
        <f aca="false">IF(B801="","",ROW()-3)</f>
        <v/>
      </c>
      <c r="B801" s="42"/>
      <c r="C801" s="43"/>
      <c r="G801" s="44"/>
      <c r="H801" s="43"/>
      <c r="I801" s="44" t="n">
        <f aca="false">IF(F801="",0,F801*G801)</f>
        <v>0</v>
      </c>
      <c r="N801" s="44" t="str">
        <f aca="false">IF(AND(M801&lt;&gt;"",F801&lt;&gt;""),F801*M801,"")</f>
        <v/>
      </c>
    </row>
    <row r="802" customFormat="false" ht="15" hidden="false" customHeight="false" outlineLevel="0" collapsed="false">
      <c r="A802" s="37" t="str">
        <f aca="false">IF(B802="","",ROW()-3)</f>
        <v/>
      </c>
      <c r="B802" s="38"/>
      <c r="C802" s="39"/>
      <c r="D802" s="39"/>
      <c r="E802" s="39"/>
      <c r="F802" s="39"/>
      <c r="G802" s="40"/>
      <c r="H802" s="39"/>
      <c r="I802" s="40" t="n">
        <f aca="false">IF(F802="",0,F802*G802)</f>
        <v>0</v>
      </c>
      <c r="J802" s="39"/>
      <c r="K802" s="39"/>
      <c r="L802" s="39"/>
      <c r="M802" s="39"/>
      <c r="N802" s="40" t="str">
        <f aca="false">IF(AND(M802&lt;&gt;"",F802&lt;&gt;""),F802*M802,"")</f>
        <v/>
      </c>
    </row>
    <row r="803" customFormat="false" ht="15" hidden="false" customHeight="false" outlineLevel="0" collapsed="false">
      <c r="A803" s="41" t="str">
        <f aca="false">IF(B803="","",ROW()-3)</f>
        <v/>
      </c>
      <c r="B803" s="42"/>
      <c r="C803" s="43"/>
      <c r="G803" s="44"/>
      <c r="H803" s="43"/>
      <c r="I803" s="44" t="n">
        <f aca="false">IF(F803="",0,F803*G803)</f>
        <v>0</v>
      </c>
      <c r="N803" s="44" t="str">
        <f aca="false">IF(AND(M803&lt;&gt;"",F803&lt;&gt;""),F803*M803,"")</f>
        <v/>
      </c>
    </row>
    <row r="804" customFormat="false" ht="15" hidden="false" customHeight="false" outlineLevel="0" collapsed="false">
      <c r="A804" s="37" t="str">
        <f aca="false">IF(B804="","",ROW()-3)</f>
        <v/>
      </c>
      <c r="B804" s="38"/>
      <c r="C804" s="39"/>
      <c r="D804" s="39"/>
      <c r="E804" s="39"/>
      <c r="F804" s="39"/>
      <c r="G804" s="40"/>
      <c r="H804" s="39"/>
      <c r="I804" s="40" t="n">
        <f aca="false">IF(F804="",0,F804*G804)</f>
        <v>0</v>
      </c>
      <c r="J804" s="39"/>
      <c r="K804" s="39"/>
      <c r="L804" s="39"/>
      <c r="M804" s="39"/>
      <c r="N804" s="40" t="str">
        <f aca="false">IF(AND(M804&lt;&gt;"",F804&lt;&gt;""),F804*M804,"")</f>
        <v/>
      </c>
    </row>
    <row r="805" customFormat="false" ht="15" hidden="false" customHeight="false" outlineLevel="0" collapsed="false">
      <c r="A805" s="41" t="str">
        <f aca="false">IF(B805="","",ROW()-3)</f>
        <v/>
      </c>
      <c r="B805" s="42"/>
      <c r="C805" s="43"/>
      <c r="G805" s="44"/>
      <c r="H805" s="43"/>
      <c r="I805" s="44" t="n">
        <f aca="false">IF(F805="",0,F805*G805)</f>
        <v>0</v>
      </c>
      <c r="N805" s="44" t="str">
        <f aca="false">IF(AND(M805&lt;&gt;"",F805&lt;&gt;""),F805*M805,"")</f>
        <v/>
      </c>
    </row>
    <row r="806" customFormat="false" ht="15" hidden="false" customHeight="false" outlineLevel="0" collapsed="false">
      <c r="A806" s="37" t="str">
        <f aca="false">IF(B806="","",ROW()-3)</f>
        <v/>
      </c>
      <c r="B806" s="38"/>
      <c r="C806" s="39"/>
      <c r="D806" s="39"/>
      <c r="E806" s="39"/>
      <c r="F806" s="39"/>
      <c r="G806" s="40"/>
      <c r="H806" s="39"/>
      <c r="I806" s="40" t="n">
        <f aca="false">IF(F806="",0,F806*G806)</f>
        <v>0</v>
      </c>
      <c r="J806" s="39"/>
      <c r="K806" s="39"/>
      <c r="L806" s="39"/>
      <c r="M806" s="39"/>
      <c r="N806" s="40" t="str">
        <f aca="false">IF(AND(M806&lt;&gt;"",F806&lt;&gt;""),F806*M806,"")</f>
        <v/>
      </c>
    </row>
    <row r="807" customFormat="false" ht="15" hidden="false" customHeight="false" outlineLevel="0" collapsed="false">
      <c r="A807" s="41" t="str">
        <f aca="false">IF(B807="","",ROW()-3)</f>
        <v/>
      </c>
      <c r="B807" s="42"/>
      <c r="C807" s="43"/>
      <c r="G807" s="44"/>
      <c r="H807" s="43"/>
      <c r="I807" s="44" t="n">
        <f aca="false">IF(F807="",0,F807*G807)</f>
        <v>0</v>
      </c>
      <c r="N807" s="44" t="str">
        <f aca="false">IF(AND(M807&lt;&gt;"",F807&lt;&gt;""),F807*M807,"")</f>
        <v/>
      </c>
    </row>
    <row r="808" customFormat="false" ht="15" hidden="false" customHeight="false" outlineLevel="0" collapsed="false">
      <c r="A808" s="37" t="str">
        <f aca="false">IF(B808="","",ROW()-3)</f>
        <v/>
      </c>
      <c r="B808" s="38"/>
      <c r="C808" s="39"/>
      <c r="D808" s="39"/>
      <c r="E808" s="39"/>
      <c r="F808" s="39"/>
      <c r="G808" s="40"/>
      <c r="H808" s="39"/>
      <c r="I808" s="40" t="n">
        <f aca="false">IF(F808="",0,F808*G808)</f>
        <v>0</v>
      </c>
      <c r="J808" s="39"/>
      <c r="K808" s="39"/>
      <c r="L808" s="39"/>
      <c r="M808" s="39"/>
      <c r="N808" s="40" t="str">
        <f aca="false">IF(AND(M808&lt;&gt;"",F808&lt;&gt;""),F808*M808,"")</f>
        <v/>
      </c>
    </row>
    <row r="809" customFormat="false" ht="15" hidden="false" customHeight="false" outlineLevel="0" collapsed="false">
      <c r="A809" s="41" t="str">
        <f aca="false">IF(B809="","",ROW()-3)</f>
        <v/>
      </c>
      <c r="B809" s="42"/>
      <c r="C809" s="43"/>
      <c r="G809" s="44"/>
      <c r="H809" s="43"/>
      <c r="I809" s="44" t="n">
        <f aca="false">IF(F809="",0,F809*G809)</f>
        <v>0</v>
      </c>
      <c r="N809" s="44" t="str">
        <f aca="false">IF(AND(M809&lt;&gt;"",F809&lt;&gt;""),F809*M809,"")</f>
        <v/>
      </c>
    </row>
    <row r="810" customFormat="false" ht="15" hidden="false" customHeight="false" outlineLevel="0" collapsed="false">
      <c r="A810" s="37" t="str">
        <f aca="false">IF(B810="","",ROW()-3)</f>
        <v/>
      </c>
      <c r="B810" s="38"/>
      <c r="C810" s="39"/>
      <c r="D810" s="39"/>
      <c r="E810" s="39"/>
      <c r="F810" s="39"/>
      <c r="G810" s="40"/>
      <c r="H810" s="39"/>
      <c r="I810" s="40" t="n">
        <f aca="false">IF(F810="",0,F810*G810)</f>
        <v>0</v>
      </c>
      <c r="J810" s="39"/>
      <c r="K810" s="39"/>
      <c r="L810" s="39"/>
      <c r="M810" s="39"/>
      <c r="N810" s="40" t="str">
        <f aca="false">IF(AND(M810&lt;&gt;"",F810&lt;&gt;""),F810*M810,"")</f>
        <v/>
      </c>
    </row>
    <row r="811" customFormat="false" ht="15" hidden="false" customHeight="false" outlineLevel="0" collapsed="false">
      <c r="A811" s="41" t="str">
        <f aca="false">IF(B811="","",ROW()-3)</f>
        <v/>
      </c>
      <c r="B811" s="42"/>
      <c r="C811" s="43"/>
      <c r="G811" s="44"/>
      <c r="H811" s="43"/>
      <c r="I811" s="44" t="n">
        <f aca="false">IF(F811="",0,F811*G811)</f>
        <v>0</v>
      </c>
      <c r="N811" s="44" t="str">
        <f aca="false">IF(AND(M811&lt;&gt;"",F811&lt;&gt;""),F811*M811,"")</f>
        <v/>
      </c>
    </row>
    <row r="812" customFormat="false" ht="15" hidden="false" customHeight="false" outlineLevel="0" collapsed="false">
      <c r="A812" s="37" t="str">
        <f aca="false">IF(B812="","",ROW()-3)</f>
        <v/>
      </c>
      <c r="B812" s="38"/>
      <c r="C812" s="39"/>
      <c r="D812" s="39"/>
      <c r="E812" s="39"/>
      <c r="F812" s="39"/>
      <c r="G812" s="40"/>
      <c r="H812" s="39"/>
      <c r="I812" s="40" t="n">
        <f aca="false">IF(F812="",0,F812*G812)</f>
        <v>0</v>
      </c>
      <c r="J812" s="39"/>
      <c r="K812" s="39"/>
      <c r="L812" s="39"/>
      <c r="M812" s="39"/>
      <c r="N812" s="40" t="str">
        <f aca="false">IF(AND(M812&lt;&gt;"",F812&lt;&gt;""),F812*M812,"")</f>
        <v/>
      </c>
    </row>
    <row r="813" customFormat="false" ht="15" hidden="false" customHeight="false" outlineLevel="0" collapsed="false">
      <c r="A813" s="41" t="str">
        <f aca="false">IF(B813="","",ROW()-3)</f>
        <v/>
      </c>
      <c r="B813" s="42"/>
      <c r="C813" s="43"/>
      <c r="G813" s="44"/>
      <c r="H813" s="43"/>
      <c r="I813" s="44" t="n">
        <f aca="false">IF(F813="",0,F813*G813)</f>
        <v>0</v>
      </c>
      <c r="N813" s="44" t="str">
        <f aca="false">IF(AND(M813&lt;&gt;"",F813&lt;&gt;""),F813*M813,"")</f>
        <v/>
      </c>
    </row>
    <row r="814" customFormat="false" ht="15" hidden="false" customHeight="false" outlineLevel="0" collapsed="false">
      <c r="A814" s="37" t="str">
        <f aca="false">IF(B814="","",ROW()-3)</f>
        <v/>
      </c>
      <c r="B814" s="38"/>
      <c r="C814" s="39"/>
      <c r="D814" s="39"/>
      <c r="E814" s="39"/>
      <c r="F814" s="39"/>
      <c r="G814" s="40"/>
      <c r="H814" s="39"/>
      <c r="I814" s="40" t="n">
        <f aca="false">IF(F814="",0,F814*G814)</f>
        <v>0</v>
      </c>
      <c r="J814" s="39"/>
      <c r="K814" s="39"/>
      <c r="L814" s="39"/>
      <c r="M814" s="39"/>
      <c r="N814" s="40" t="str">
        <f aca="false">IF(AND(M814&lt;&gt;"",F814&lt;&gt;""),F814*M814,"")</f>
        <v/>
      </c>
    </row>
    <row r="815" customFormat="false" ht="15" hidden="false" customHeight="false" outlineLevel="0" collapsed="false">
      <c r="A815" s="41" t="str">
        <f aca="false">IF(B815="","",ROW()-3)</f>
        <v/>
      </c>
      <c r="B815" s="42"/>
      <c r="C815" s="43"/>
      <c r="G815" s="44"/>
      <c r="H815" s="43"/>
      <c r="I815" s="44" t="n">
        <f aca="false">IF(F815="",0,F815*G815)</f>
        <v>0</v>
      </c>
      <c r="N815" s="44" t="str">
        <f aca="false">IF(AND(M815&lt;&gt;"",F815&lt;&gt;""),F815*M815,"")</f>
        <v/>
      </c>
    </row>
    <row r="816" customFormat="false" ht="15" hidden="false" customHeight="false" outlineLevel="0" collapsed="false">
      <c r="A816" s="37" t="str">
        <f aca="false">IF(B816="","",ROW()-3)</f>
        <v/>
      </c>
      <c r="B816" s="38"/>
      <c r="C816" s="39"/>
      <c r="D816" s="39"/>
      <c r="E816" s="39"/>
      <c r="F816" s="39"/>
      <c r="G816" s="40"/>
      <c r="H816" s="39"/>
      <c r="I816" s="40" t="n">
        <f aca="false">IF(F816="",0,F816*G816)</f>
        <v>0</v>
      </c>
      <c r="J816" s="39"/>
      <c r="K816" s="39"/>
      <c r="L816" s="39"/>
      <c r="M816" s="39"/>
      <c r="N816" s="40" t="str">
        <f aca="false">IF(AND(M816&lt;&gt;"",F816&lt;&gt;""),F816*M816,"")</f>
        <v/>
      </c>
    </row>
    <row r="817" customFormat="false" ht="15" hidden="false" customHeight="false" outlineLevel="0" collapsed="false">
      <c r="A817" s="41" t="str">
        <f aca="false">IF(B817="","",ROW()-3)</f>
        <v/>
      </c>
      <c r="B817" s="42"/>
      <c r="C817" s="43"/>
      <c r="G817" s="44"/>
      <c r="H817" s="43"/>
      <c r="I817" s="44" t="n">
        <f aca="false">IF(F817="",0,F817*G817)</f>
        <v>0</v>
      </c>
      <c r="N817" s="44" t="str">
        <f aca="false">IF(AND(M817&lt;&gt;"",F817&lt;&gt;""),F817*M817,"")</f>
        <v/>
      </c>
    </row>
    <row r="818" customFormat="false" ht="15" hidden="false" customHeight="false" outlineLevel="0" collapsed="false">
      <c r="A818" s="37" t="str">
        <f aca="false">IF(B818="","",ROW()-3)</f>
        <v/>
      </c>
      <c r="B818" s="38"/>
      <c r="C818" s="39"/>
      <c r="D818" s="39"/>
      <c r="E818" s="39"/>
      <c r="F818" s="39"/>
      <c r="G818" s="40"/>
      <c r="H818" s="39"/>
      <c r="I818" s="40" t="n">
        <f aca="false">IF(F818="",0,F818*G818)</f>
        <v>0</v>
      </c>
      <c r="J818" s="39"/>
      <c r="K818" s="39"/>
      <c r="L818" s="39"/>
      <c r="M818" s="39"/>
      <c r="N818" s="40" t="str">
        <f aca="false">IF(AND(M818&lt;&gt;"",F818&lt;&gt;""),F818*M818,"")</f>
        <v/>
      </c>
    </row>
    <row r="819" customFormat="false" ht="15" hidden="false" customHeight="false" outlineLevel="0" collapsed="false">
      <c r="A819" s="41" t="str">
        <f aca="false">IF(B819="","",ROW()-3)</f>
        <v/>
      </c>
      <c r="B819" s="42"/>
      <c r="C819" s="43"/>
      <c r="G819" s="44"/>
      <c r="H819" s="43"/>
      <c r="I819" s="44" t="n">
        <f aca="false">IF(F819="",0,F819*G819)</f>
        <v>0</v>
      </c>
      <c r="N819" s="44" t="str">
        <f aca="false">IF(AND(M819&lt;&gt;"",F819&lt;&gt;""),F819*M819,"")</f>
        <v/>
      </c>
    </row>
    <row r="820" customFormat="false" ht="15" hidden="false" customHeight="false" outlineLevel="0" collapsed="false">
      <c r="A820" s="37" t="str">
        <f aca="false">IF(B820="","",ROW()-3)</f>
        <v/>
      </c>
      <c r="B820" s="38"/>
      <c r="C820" s="39"/>
      <c r="D820" s="39"/>
      <c r="E820" s="39"/>
      <c r="F820" s="39"/>
      <c r="G820" s="40"/>
      <c r="H820" s="39"/>
      <c r="I820" s="40" t="n">
        <f aca="false">IF(F820="",0,F820*G820)</f>
        <v>0</v>
      </c>
      <c r="J820" s="39"/>
      <c r="K820" s="39"/>
      <c r="L820" s="39"/>
      <c r="M820" s="39"/>
      <c r="N820" s="40" t="str">
        <f aca="false">IF(AND(M820&lt;&gt;"",F820&lt;&gt;""),F820*M820,"")</f>
        <v/>
      </c>
    </row>
    <row r="821" customFormat="false" ht="15" hidden="false" customHeight="false" outlineLevel="0" collapsed="false">
      <c r="A821" s="41" t="str">
        <f aca="false">IF(B821="","",ROW()-3)</f>
        <v/>
      </c>
      <c r="B821" s="42"/>
      <c r="C821" s="43"/>
      <c r="G821" s="44"/>
      <c r="H821" s="43"/>
      <c r="I821" s="44" t="n">
        <f aca="false">IF(F821="",0,F821*G821)</f>
        <v>0</v>
      </c>
      <c r="N821" s="44" t="str">
        <f aca="false">IF(AND(M821&lt;&gt;"",F821&lt;&gt;""),F821*M821,"")</f>
        <v/>
      </c>
    </row>
    <row r="822" customFormat="false" ht="15" hidden="false" customHeight="false" outlineLevel="0" collapsed="false">
      <c r="A822" s="37" t="str">
        <f aca="false">IF(B822="","",ROW()-3)</f>
        <v/>
      </c>
      <c r="B822" s="38"/>
      <c r="C822" s="39"/>
      <c r="D822" s="39"/>
      <c r="E822" s="39"/>
      <c r="F822" s="39"/>
      <c r="G822" s="40"/>
      <c r="H822" s="39"/>
      <c r="I822" s="40" t="n">
        <f aca="false">IF(F822="",0,F822*G822)</f>
        <v>0</v>
      </c>
      <c r="J822" s="39"/>
      <c r="K822" s="39"/>
      <c r="L822" s="39"/>
      <c r="M822" s="39"/>
      <c r="N822" s="40" t="str">
        <f aca="false">IF(AND(M822&lt;&gt;"",F822&lt;&gt;""),F822*M822,"")</f>
        <v/>
      </c>
    </row>
    <row r="823" customFormat="false" ht="15" hidden="false" customHeight="false" outlineLevel="0" collapsed="false">
      <c r="A823" s="41" t="str">
        <f aca="false">IF(B823="","",ROW()-3)</f>
        <v/>
      </c>
      <c r="B823" s="42"/>
      <c r="C823" s="43"/>
      <c r="G823" s="44"/>
      <c r="H823" s="43"/>
      <c r="I823" s="44" t="n">
        <f aca="false">IF(F823="",0,F823*G823)</f>
        <v>0</v>
      </c>
      <c r="N823" s="44" t="str">
        <f aca="false">IF(AND(M823&lt;&gt;"",F823&lt;&gt;""),F823*M823,"")</f>
        <v/>
      </c>
    </row>
    <row r="824" customFormat="false" ht="15" hidden="false" customHeight="false" outlineLevel="0" collapsed="false">
      <c r="A824" s="37" t="str">
        <f aca="false">IF(B824="","",ROW()-3)</f>
        <v/>
      </c>
      <c r="B824" s="38"/>
      <c r="C824" s="39"/>
      <c r="D824" s="39"/>
      <c r="E824" s="39"/>
      <c r="F824" s="39"/>
      <c r="G824" s="40"/>
      <c r="H824" s="39"/>
      <c r="I824" s="40" t="n">
        <f aca="false">IF(F824="",0,F824*G824)</f>
        <v>0</v>
      </c>
      <c r="J824" s="39"/>
      <c r="K824" s="39"/>
      <c r="L824" s="39"/>
      <c r="M824" s="39"/>
      <c r="N824" s="40" t="str">
        <f aca="false">IF(AND(M824&lt;&gt;"",F824&lt;&gt;""),F824*M824,"")</f>
        <v/>
      </c>
    </row>
    <row r="825" customFormat="false" ht="15" hidden="false" customHeight="false" outlineLevel="0" collapsed="false">
      <c r="A825" s="41" t="str">
        <f aca="false">IF(B825="","",ROW()-3)</f>
        <v/>
      </c>
      <c r="B825" s="42"/>
      <c r="C825" s="43"/>
      <c r="G825" s="44"/>
      <c r="H825" s="43"/>
      <c r="I825" s="44" t="n">
        <f aca="false">IF(F825="",0,F825*G825)</f>
        <v>0</v>
      </c>
      <c r="N825" s="44" t="str">
        <f aca="false">IF(AND(M825&lt;&gt;"",F825&lt;&gt;""),F825*M825,"")</f>
        <v/>
      </c>
    </row>
    <row r="826" customFormat="false" ht="15" hidden="false" customHeight="false" outlineLevel="0" collapsed="false">
      <c r="A826" s="37" t="str">
        <f aca="false">IF(B826="","",ROW()-3)</f>
        <v/>
      </c>
      <c r="B826" s="38"/>
      <c r="C826" s="39"/>
      <c r="D826" s="39"/>
      <c r="E826" s="39"/>
      <c r="F826" s="39"/>
      <c r="G826" s="40"/>
      <c r="H826" s="39"/>
      <c r="I826" s="40" t="n">
        <f aca="false">IF(F826="",0,F826*G826)</f>
        <v>0</v>
      </c>
      <c r="J826" s="39"/>
      <c r="K826" s="39"/>
      <c r="L826" s="39"/>
      <c r="M826" s="39"/>
      <c r="N826" s="40" t="str">
        <f aca="false">IF(AND(M826&lt;&gt;"",F826&lt;&gt;""),F826*M826,"")</f>
        <v/>
      </c>
    </row>
    <row r="827" customFormat="false" ht="15" hidden="false" customHeight="false" outlineLevel="0" collapsed="false">
      <c r="A827" s="41" t="str">
        <f aca="false">IF(B827="","",ROW()-3)</f>
        <v/>
      </c>
      <c r="B827" s="42"/>
      <c r="C827" s="43"/>
      <c r="G827" s="44"/>
      <c r="H827" s="43"/>
      <c r="I827" s="44" t="n">
        <f aca="false">IF(F827="",0,F827*G827)</f>
        <v>0</v>
      </c>
      <c r="N827" s="44" t="str">
        <f aca="false">IF(AND(M827&lt;&gt;"",F827&lt;&gt;""),F827*M827,"")</f>
        <v/>
      </c>
    </row>
    <row r="828" customFormat="false" ht="15" hidden="false" customHeight="false" outlineLevel="0" collapsed="false">
      <c r="A828" s="37" t="str">
        <f aca="false">IF(B828="","",ROW()-3)</f>
        <v/>
      </c>
      <c r="B828" s="38"/>
      <c r="C828" s="39"/>
      <c r="D828" s="39"/>
      <c r="E828" s="39"/>
      <c r="F828" s="39"/>
      <c r="G828" s="40"/>
      <c r="H828" s="39"/>
      <c r="I828" s="40" t="n">
        <f aca="false">IF(F828="",0,F828*G828)</f>
        <v>0</v>
      </c>
      <c r="J828" s="39"/>
      <c r="K828" s="39"/>
      <c r="L828" s="39"/>
      <c r="M828" s="39"/>
      <c r="N828" s="40" t="str">
        <f aca="false">IF(AND(M828&lt;&gt;"",F828&lt;&gt;""),F828*M828,"")</f>
        <v/>
      </c>
    </row>
    <row r="829" customFormat="false" ht="15" hidden="false" customHeight="false" outlineLevel="0" collapsed="false">
      <c r="A829" s="41" t="str">
        <f aca="false">IF(B829="","",ROW()-3)</f>
        <v/>
      </c>
      <c r="B829" s="42"/>
      <c r="C829" s="43"/>
      <c r="G829" s="44"/>
      <c r="H829" s="43"/>
      <c r="I829" s="44" t="n">
        <f aca="false">IF(F829="",0,F829*G829)</f>
        <v>0</v>
      </c>
      <c r="N829" s="44" t="str">
        <f aca="false">IF(AND(M829&lt;&gt;"",F829&lt;&gt;""),F829*M829,"")</f>
        <v/>
      </c>
    </row>
    <row r="830" customFormat="false" ht="15" hidden="false" customHeight="false" outlineLevel="0" collapsed="false">
      <c r="A830" s="37" t="str">
        <f aca="false">IF(B830="","",ROW()-3)</f>
        <v/>
      </c>
      <c r="B830" s="38"/>
      <c r="C830" s="39"/>
      <c r="D830" s="39"/>
      <c r="E830" s="39"/>
      <c r="F830" s="39"/>
      <c r="G830" s="40"/>
      <c r="H830" s="39"/>
      <c r="I830" s="40" t="n">
        <f aca="false">IF(F830="",0,F830*G830)</f>
        <v>0</v>
      </c>
      <c r="J830" s="39"/>
      <c r="K830" s="39"/>
      <c r="L830" s="39"/>
      <c r="M830" s="39"/>
      <c r="N830" s="40" t="str">
        <f aca="false">IF(AND(M830&lt;&gt;"",F830&lt;&gt;""),F830*M830,"")</f>
        <v/>
      </c>
    </row>
    <row r="831" customFormat="false" ht="15" hidden="false" customHeight="false" outlineLevel="0" collapsed="false">
      <c r="A831" s="41" t="str">
        <f aca="false">IF(B831="","",ROW()-3)</f>
        <v/>
      </c>
      <c r="B831" s="42"/>
      <c r="C831" s="43"/>
      <c r="G831" s="44"/>
      <c r="H831" s="43"/>
      <c r="I831" s="44" t="n">
        <f aca="false">IF(F831="",0,F831*G831)</f>
        <v>0</v>
      </c>
      <c r="N831" s="44" t="str">
        <f aca="false">IF(AND(M831&lt;&gt;"",F831&lt;&gt;""),F831*M831,"")</f>
        <v/>
      </c>
    </row>
    <row r="832" customFormat="false" ht="15" hidden="false" customHeight="false" outlineLevel="0" collapsed="false">
      <c r="A832" s="37" t="str">
        <f aca="false">IF(B832="","",ROW()-3)</f>
        <v/>
      </c>
      <c r="B832" s="38"/>
      <c r="C832" s="39"/>
      <c r="D832" s="39"/>
      <c r="E832" s="39"/>
      <c r="F832" s="39"/>
      <c r="G832" s="40"/>
      <c r="H832" s="39"/>
      <c r="I832" s="40" t="n">
        <f aca="false">IF(F832="",0,F832*G832)</f>
        <v>0</v>
      </c>
      <c r="J832" s="39"/>
      <c r="K832" s="39"/>
      <c r="L832" s="39"/>
      <c r="M832" s="39"/>
      <c r="N832" s="40" t="str">
        <f aca="false">IF(AND(M832&lt;&gt;"",F832&lt;&gt;""),F832*M832,"")</f>
        <v/>
      </c>
    </row>
    <row r="833" customFormat="false" ht="15" hidden="false" customHeight="false" outlineLevel="0" collapsed="false">
      <c r="A833" s="41" t="str">
        <f aca="false">IF(B833="","",ROW()-3)</f>
        <v/>
      </c>
      <c r="B833" s="42"/>
      <c r="C833" s="43"/>
      <c r="G833" s="44"/>
      <c r="H833" s="43"/>
      <c r="I833" s="44" t="n">
        <f aca="false">IF(F833="",0,F833*G833)</f>
        <v>0</v>
      </c>
      <c r="N833" s="44" t="str">
        <f aca="false">IF(AND(M833&lt;&gt;"",F833&lt;&gt;""),F833*M833,"")</f>
        <v/>
      </c>
    </row>
    <row r="834" customFormat="false" ht="15" hidden="false" customHeight="false" outlineLevel="0" collapsed="false">
      <c r="A834" s="37" t="str">
        <f aca="false">IF(B834="","",ROW()-3)</f>
        <v/>
      </c>
      <c r="B834" s="38"/>
      <c r="C834" s="39"/>
      <c r="D834" s="39"/>
      <c r="E834" s="39"/>
      <c r="F834" s="39"/>
      <c r="G834" s="40"/>
      <c r="H834" s="39"/>
      <c r="I834" s="40" t="n">
        <f aca="false">IF(F834="",0,F834*G834)</f>
        <v>0</v>
      </c>
      <c r="J834" s="39"/>
      <c r="K834" s="39"/>
      <c r="L834" s="39"/>
      <c r="M834" s="39"/>
      <c r="N834" s="40" t="str">
        <f aca="false">IF(AND(M834&lt;&gt;"",F834&lt;&gt;""),F834*M834,"")</f>
        <v/>
      </c>
    </row>
    <row r="835" customFormat="false" ht="15" hidden="false" customHeight="false" outlineLevel="0" collapsed="false">
      <c r="A835" s="41" t="str">
        <f aca="false">IF(B835="","",ROW()-3)</f>
        <v/>
      </c>
      <c r="B835" s="42"/>
      <c r="C835" s="43"/>
      <c r="G835" s="44"/>
      <c r="H835" s="43"/>
      <c r="I835" s="44" t="n">
        <f aca="false">IF(F835="",0,F835*G835)</f>
        <v>0</v>
      </c>
      <c r="N835" s="44" t="str">
        <f aca="false">IF(AND(M835&lt;&gt;"",F835&lt;&gt;""),F835*M835,"")</f>
        <v/>
      </c>
    </row>
    <row r="836" customFormat="false" ht="15" hidden="false" customHeight="false" outlineLevel="0" collapsed="false">
      <c r="A836" s="37" t="str">
        <f aca="false">IF(B836="","",ROW()-3)</f>
        <v/>
      </c>
      <c r="B836" s="38"/>
      <c r="C836" s="39"/>
      <c r="D836" s="39"/>
      <c r="E836" s="39"/>
      <c r="F836" s="39"/>
      <c r="G836" s="40"/>
      <c r="H836" s="39"/>
      <c r="I836" s="40" t="n">
        <f aca="false">IF(F836="",0,F836*G836)</f>
        <v>0</v>
      </c>
      <c r="J836" s="39"/>
      <c r="K836" s="39"/>
      <c r="L836" s="39"/>
      <c r="M836" s="39"/>
      <c r="N836" s="40" t="str">
        <f aca="false">IF(AND(M836&lt;&gt;"",F836&lt;&gt;""),F836*M836,"")</f>
        <v/>
      </c>
    </row>
    <row r="837" customFormat="false" ht="15" hidden="false" customHeight="false" outlineLevel="0" collapsed="false">
      <c r="A837" s="41" t="str">
        <f aca="false">IF(B837="","",ROW()-3)</f>
        <v/>
      </c>
      <c r="B837" s="42"/>
      <c r="C837" s="43"/>
      <c r="G837" s="44"/>
      <c r="H837" s="43"/>
      <c r="I837" s="44" t="n">
        <f aca="false">IF(F837="",0,F837*G837)</f>
        <v>0</v>
      </c>
      <c r="N837" s="44" t="str">
        <f aca="false">IF(AND(M837&lt;&gt;"",F837&lt;&gt;""),F837*M837,"")</f>
        <v/>
      </c>
    </row>
    <row r="838" customFormat="false" ht="15" hidden="false" customHeight="false" outlineLevel="0" collapsed="false">
      <c r="A838" s="37" t="str">
        <f aca="false">IF(B838="","",ROW()-3)</f>
        <v/>
      </c>
      <c r="B838" s="38"/>
      <c r="C838" s="39"/>
      <c r="D838" s="39"/>
      <c r="E838" s="39"/>
      <c r="F838" s="39"/>
      <c r="G838" s="40"/>
      <c r="H838" s="39"/>
      <c r="I838" s="40" t="n">
        <f aca="false">IF(F838="",0,F838*G838)</f>
        <v>0</v>
      </c>
      <c r="J838" s="39"/>
      <c r="K838" s="39"/>
      <c r="L838" s="39"/>
      <c r="M838" s="39"/>
      <c r="N838" s="40" t="str">
        <f aca="false">IF(AND(M838&lt;&gt;"",F838&lt;&gt;""),F838*M838,"")</f>
        <v/>
      </c>
    </row>
    <row r="839" customFormat="false" ht="15" hidden="false" customHeight="false" outlineLevel="0" collapsed="false">
      <c r="A839" s="41" t="str">
        <f aca="false">IF(B839="","",ROW()-3)</f>
        <v/>
      </c>
      <c r="B839" s="42"/>
      <c r="C839" s="43"/>
      <c r="G839" s="44"/>
      <c r="H839" s="43"/>
      <c r="I839" s="44" t="n">
        <f aca="false">IF(F839="",0,F839*G839)</f>
        <v>0</v>
      </c>
      <c r="N839" s="44" t="str">
        <f aca="false">IF(AND(M839&lt;&gt;"",F839&lt;&gt;""),F839*M839,"")</f>
        <v/>
      </c>
    </row>
    <row r="840" customFormat="false" ht="15" hidden="false" customHeight="false" outlineLevel="0" collapsed="false">
      <c r="A840" s="37" t="str">
        <f aca="false">IF(B840="","",ROW()-3)</f>
        <v/>
      </c>
      <c r="B840" s="38"/>
      <c r="C840" s="39"/>
      <c r="D840" s="39"/>
      <c r="E840" s="39"/>
      <c r="F840" s="39"/>
      <c r="G840" s="40"/>
      <c r="H840" s="39"/>
      <c r="I840" s="40" t="n">
        <f aca="false">IF(F840="",0,F840*G840)</f>
        <v>0</v>
      </c>
      <c r="J840" s="39"/>
      <c r="K840" s="39"/>
      <c r="L840" s="39"/>
      <c r="M840" s="39"/>
      <c r="N840" s="40" t="str">
        <f aca="false">IF(AND(M840&lt;&gt;"",F840&lt;&gt;""),F840*M840,"")</f>
        <v/>
      </c>
    </row>
    <row r="841" customFormat="false" ht="15" hidden="false" customHeight="false" outlineLevel="0" collapsed="false">
      <c r="A841" s="41" t="str">
        <f aca="false">IF(B841="","",ROW()-3)</f>
        <v/>
      </c>
      <c r="B841" s="42"/>
      <c r="C841" s="43"/>
      <c r="G841" s="44"/>
      <c r="H841" s="43"/>
      <c r="I841" s="44" t="n">
        <f aca="false">IF(F841="",0,F841*G841)</f>
        <v>0</v>
      </c>
      <c r="N841" s="44" t="str">
        <f aca="false">IF(AND(M841&lt;&gt;"",F841&lt;&gt;""),F841*M841,"")</f>
        <v/>
      </c>
    </row>
    <row r="842" customFormat="false" ht="15" hidden="false" customHeight="false" outlineLevel="0" collapsed="false">
      <c r="A842" s="37" t="str">
        <f aca="false">IF(B842="","",ROW()-3)</f>
        <v/>
      </c>
      <c r="B842" s="38"/>
      <c r="C842" s="39"/>
      <c r="D842" s="39"/>
      <c r="E842" s="39"/>
      <c r="F842" s="39"/>
      <c r="G842" s="40"/>
      <c r="H842" s="39"/>
      <c r="I842" s="40" t="n">
        <f aca="false">IF(F842="",0,F842*G842)</f>
        <v>0</v>
      </c>
      <c r="J842" s="39"/>
      <c r="K842" s="39"/>
      <c r="L842" s="39"/>
      <c r="M842" s="39"/>
      <c r="N842" s="40" t="str">
        <f aca="false">IF(AND(M842&lt;&gt;"",F842&lt;&gt;""),F842*M842,"")</f>
        <v/>
      </c>
    </row>
    <row r="843" customFormat="false" ht="15" hidden="false" customHeight="false" outlineLevel="0" collapsed="false">
      <c r="A843" s="41" t="str">
        <f aca="false">IF(B843="","",ROW()-3)</f>
        <v/>
      </c>
      <c r="B843" s="42"/>
      <c r="C843" s="43"/>
      <c r="G843" s="44"/>
      <c r="H843" s="43"/>
      <c r="I843" s="44" t="n">
        <f aca="false">IF(F843="",0,F843*G843)</f>
        <v>0</v>
      </c>
      <c r="N843" s="44" t="str">
        <f aca="false">IF(AND(M843&lt;&gt;"",F843&lt;&gt;""),F843*M843,"")</f>
        <v/>
      </c>
    </row>
    <row r="844" customFormat="false" ht="15" hidden="false" customHeight="false" outlineLevel="0" collapsed="false">
      <c r="A844" s="37" t="str">
        <f aca="false">IF(B844="","",ROW()-3)</f>
        <v/>
      </c>
      <c r="B844" s="38"/>
      <c r="C844" s="39"/>
      <c r="D844" s="39"/>
      <c r="E844" s="39"/>
      <c r="F844" s="39"/>
      <c r="G844" s="40"/>
      <c r="H844" s="39"/>
      <c r="I844" s="40" t="n">
        <f aca="false">IF(F844="",0,F844*G844)</f>
        <v>0</v>
      </c>
      <c r="J844" s="39"/>
      <c r="K844" s="39"/>
      <c r="L844" s="39"/>
      <c r="M844" s="39"/>
      <c r="N844" s="40" t="str">
        <f aca="false">IF(AND(M844&lt;&gt;"",F844&lt;&gt;""),F844*M844,"")</f>
        <v/>
      </c>
    </row>
    <row r="845" customFormat="false" ht="15" hidden="false" customHeight="false" outlineLevel="0" collapsed="false">
      <c r="A845" s="41" t="str">
        <f aca="false">IF(B845="","",ROW()-3)</f>
        <v/>
      </c>
      <c r="B845" s="42"/>
      <c r="C845" s="43"/>
      <c r="G845" s="44"/>
      <c r="H845" s="43"/>
      <c r="I845" s="44" t="n">
        <f aca="false">IF(F845="",0,F845*G845)</f>
        <v>0</v>
      </c>
      <c r="N845" s="44" t="str">
        <f aca="false">IF(AND(M845&lt;&gt;"",F845&lt;&gt;""),F845*M845,"")</f>
        <v/>
      </c>
    </row>
    <row r="846" customFormat="false" ht="15" hidden="false" customHeight="false" outlineLevel="0" collapsed="false">
      <c r="A846" s="37" t="str">
        <f aca="false">IF(B846="","",ROW()-3)</f>
        <v/>
      </c>
      <c r="B846" s="38"/>
      <c r="C846" s="39"/>
      <c r="D846" s="39"/>
      <c r="E846" s="39"/>
      <c r="F846" s="39"/>
      <c r="G846" s="40"/>
      <c r="H846" s="39"/>
      <c r="I846" s="40" t="n">
        <f aca="false">IF(F846="",0,F846*G846)</f>
        <v>0</v>
      </c>
      <c r="J846" s="39"/>
      <c r="K846" s="39"/>
      <c r="L846" s="39"/>
      <c r="M846" s="39"/>
      <c r="N846" s="40" t="str">
        <f aca="false">IF(AND(M846&lt;&gt;"",F846&lt;&gt;""),F846*M846,"")</f>
        <v/>
      </c>
    </row>
    <row r="847" customFormat="false" ht="15" hidden="false" customHeight="false" outlineLevel="0" collapsed="false">
      <c r="A847" s="41" t="str">
        <f aca="false">IF(B847="","",ROW()-3)</f>
        <v/>
      </c>
      <c r="B847" s="42"/>
      <c r="C847" s="43"/>
      <c r="G847" s="44"/>
      <c r="H847" s="43"/>
      <c r="I847" s="44" t="n">
        <f aca="false">IF(F847="",0,F847*G847)</f>
        <v>0</v>
      </c>
      <c r="N847" s="44" t="str">
        <f aca="false">IF(AND(M847&lt;&gt;"",F847&lt;&gt;""),F847*M847,"")</f>
        <v/>
      </c>
    </row>
    <row r="848" customFormat="false" ht="15" hidden="false" customHeight="false" outlineLevel="0" collapsed="false">
      <c r="A848" s="37" t="str">
        <f aca="false">IF(B848="","",ROW()-3)</f>
        <v/>
      </c>
      <c r="B848" s="38"/>
      <c r="C848" s="39"/>
      <c r="D848" s="39"/>
      <c r="E848" s="39"/>
      <c r="F848" s="39"/>
      <c r="G848" s="40"/>
      <c r="H848" s="39"/>
      <c r="I848" s="40" t="n">
        <f aca="false">IF(F848="",0,F848*G848)</f>
        <v>0</v>
      </c>
      <c r="J848" s="39"/>
      <c r="K848" s="39"/>
      <c r="L848" s="39"/>
      <c r="M848" s="39"/>
      <c r="N848" s="40" t="str">
        <f aca="false">IF(AND(M848&lt;&gt;"",F848&lt;&gt;""),F848*M848,"")</f>
        <v/>
      </c>
    </row>
    <row r="849" customFormat="false" ht="15" hidden="false" customHeight="false" outlineLevel="0" collapsed="false">
      <c r="A849" s="41" t="str">
        <f aca="false">IF(B849="","",ROW()-3)</f>
        <v/>
      </c>
      <c r="B849" s="42"/>
      <c r="C849" s="43"/>
      <c r="G849" s="44"/>
      <c r="H849" s="43"/>
      <c r="I849" s="44" t="n">
        <f aca="false">IF(F849="",0,F849*G849)</f>
        <v>0</v>
      </c>
      <c r="N849" s="44" t="str">
        <f aca="false">IF(AND(M849&lt;&gt;"",F849&lt;&gt;""),F849*M849,"")</f>
        <v/>
      </c>
    </row>
    <row r="850" customFormat="false" ht="15" hidden="false" customHeight="false" outlineLevel="0" collapsed="false">
      <c r="A850" s="37" t="str">
        <f aca="false">IF(B850="","",ROW()-3)</f>
        <v/>
      </c>
      <c r="B850" s="38"/>
      <c r="C850" s="39"/>
      <c r="D850" s="39"/>
      <c r="E850" s="39"/>
      <c r="F850" s="39"/>
      <c r="G850" s="40"/>
      <c r="H850" s="39"/>
      <c r="I850" s="40" t="n">
        <f aca="false">IF(F850="",0,F850*G850)</f>
        <v>0</v>
      </c>
      <c r="J850" s="39"/>
      <c r="K850" s="39"/>
      <c r="L850" s="39"/>
      <c r="M850" s="39"/>
      <c r="N850" s="40" t="str">
        <f aca="false">IF(AND(M850&lt;&gt;"",F850&lt;&gt;""),F850*M850,"")</f>
        <v/>
      </c>
    </row>
    <row r="851" customFormat="false" ht="15" hidden="false" customHeight="false" outlineLevel="0" collapsed="false">
      <c r="A851" s="41" t="str">
        <f aca="false">IF(B851="","",ROW()-3)</f>
        <v/>
      </c>
      <c r="B851" s="42"/>
      <c r="C851" s="43"/>
      <c r="G851" s="44"/>
      <c r="H851" s="43"/>
      <c r="I851" s="44" t="n">
        <f aca="false">IF(F851="",0,F851*G851)</f>
        <v>0</v>
      </c>
      <c r="N851" s="44" t="str">
        <f aca="false">IF(AND(M851&lt;&gt;"",F851&lt;&gt;""),F851*M851,"")</f>
        <v/>
      </c>
    </row>
    <row r="852" customFormat="false" ht="15" hidden="false" customHeight="false" outlineLevel="0" collapsed="false">
      <c r="A852" s="37" t="str">
        <f aca="false">IF(B852="","",ROW()-3)</f>
        <v/>
      </c>
      <c r="B852" s="38"/>
      <c r="C852" s="39"/>
      <c r="D852" s="39"/>
      <c r="E852" s="39"/>
      <c r="F852" s="39"/>
      <c r="G852" s="40"/>
      <c r="H852" s="39"/>
      <c r="I852" s="40" t="n">
        <f aca="false">IF(F852="",0,F852*G852)</f>
        <v>0</v>
      </c>
      <c r="J852" s="39"/>
      <c r="K852" s="39"/>
      <c r="L852" s="39"/>
      <c r="M852" s="39"/>
      <c r="N852" s="40" t="str">
        <f aca="false">IF(AND(M852&lt;&gt;"",F852&lt;&gt;""),F852*M852,"")</f>
        <v/>
      </c>
    </row>
    <row r="853" customFormat="false" ht="15" hidden="false" customHeight="false" outlineLevel="0" collapsed="false">
      <c r="A853" s="41" t="str">
        <f aca="false">IF(B853="","",ROW()-3)</f>
        <v/>
      </c>
      <c r="B853" s="42"/>
      <c r="C853" s="43"/>
      <c r="G853" s="44"/>
      <c r="H853" s="43"/>
      <c r="I853" s="44" t="n">
        <f aca="false">IF(F853="",0,F853*G853)</f>
        <v>0</v>
      </c>
      <c r="N853" s="44" t="str">
        <f aca="false">IF(AND(M853&lt;&gt;"",F853&lt;&gt;""),F853*M853,"")</f>
        <v/>
      </c>
    </row>
    <row r="854" customFormat="false" ht="15" hidden="false" customHeight="false" outlineLevel="0" collapsed="false">
      <c r="A854" s="37" t="str">
        <f aca="false">IF(B854="","",ROW()-3)</f>
        <v/>
      </c>
      <c r="B854" s="38"/>
      <c r="C854" s="39"/>
      <c r="D854" s="39"/>
      <c r="E854" s="39"/>
      <c r="F854" s="39"/>
      <c r="G854" s="40"/>
      <c r="H854" s="39"/>
      <c r="I854" s="40" t="n">
        <f aca="false">IF(F854="",0,F854*G854)</f>
        <v>0</v>
      </c>
      <c r="J854" s="39"/>
      <c r="K854" s="39"/>
      <c r="L854" s="39"/>
      <c r="M854" s="39"/>
      <c r="N854" s="40" t="str">
        <f aca="false">IF(AND(M854&lt;&gt;"",F854&lt;&gt;""),F854*M854,"")</f>
        <v/>
      </c>
    </row>
    <row r="855" customFormat="false" ht="15" hidden="false" customHeight="false" outlineLevel="0" collapsed="false">
      <c r="A855" s="41" t="str">
        <f aca="false">IF(B855="","",ROW()-3)</f>
        <v/>
      </c>
      <c r="B855" s="42"/>
      <c r="C855" s="43"/>
      <c r="G855" s="44"/>
      <c r="H855" s="43"/>
      <c r="I855" s="44" t="n">
        <f aca="false">IF(F855="",0,F855*G855)</f>
        <v>0</v>
      </c>
      <c r="N855" s="44" t="str">
        <f aca="false">IF(AND(M855&lt;&gt;"",F855&lt;&gt;""),F855*M855,"")</f>
        <v/>
      </c>
    </row>
    <row r="856" customFormat="false" ht="15" hidden="false" customHeight="false" outlineLevel="0" collapsed="false">
      <c r="A856" s="37" t="str">
        <f aca="false">IF(B856="","",ROW()-3)</f>
        <v/>
      </c>
      <c r="B856" s="38"/>
      <c r="C856" s="39"/>
      <c r="D856" s="39"/>
      <c r="E856" s="39"/>
      <c r="F856" s="39"/>
      <c r="G856" s="40"/>
      <c r="H856" s="39"/>
      <c r="I856" s="40" t="n">
        <f aca="false">IF(F856="",0,F856*G856)</f>
        <v>0</v>
      </c>
      <c r="J856" s="39"/>
      <c r="K856" s="39"/>
      <c r="L856" s="39"/>
      <c r="M856" s="39"/>
      <c r="N856" s="40" t="str">
        <f aca="false">IF(AND(M856&lt;&gt;"",F856&lt;&gt;""),F856*M856,"")</f>
        <v/>
      </c>
    </row>
    <row r="857" customFormat="false" ht="15" hidden="false" customHeight="false" outlineLevel="0" collapsed="false">
      <c r="A857" s="41" t="str">
        <f aca="false">IF(B857="","",ROW()-3)</f>
        <v/>
      </c>
      <c r="B857" s="42"/>
      <c r="C857" s="43"/>
      <c r="G857" s="44"/>
      <c r="H857" s="43"/>
      <c r="I857" s="44" t="n">
        <f aca="false">IF(F857="",0,F857*G857)</f>
        <v>0</v>
      </c>
      <c r="N857" s="44" t="str">
        <f aca="false">IF(AND(M857&lt;&gt;"",F857&lt;&gt;""),F857*M857,"")</f>
        <v/>
      </c>
    </row>
    <row r="858" customFormat="false" ht="15" hidden="false" customHeight="false" outlineLevel="0" collapsed="false">
      <c r="A858" s="37" t="str">
        <f aca="false">IF(B858="","",ROW()-3)</f>
        <v/>
      </c>
      <c r="B858" s="38"/>
      <c r="C858" s="39"/>
      <c r="D858" s="39"/>
      <c r="E858" s="39"/>
      <c r="F858" s="39"/>
      <c r="G858" s="40"/>
      <c r="H858" s="39"/>
      <c r="I858" s="40" t="n">
        <f aca="false">IF(F858="",0,F858*G858)</f>
        <v>0</v>
      </c>
      <c r="J858" s="39"/>
      <c r="K858" s="39"/>
      <c r="L858" s="39"/>
      <c r="M858" s="39"/>
      <c r="N858" s="40" t="str">
        <f aca="false">IF(AND(M858&lt;&gt;"",F858&lt;&gt;""),F858*M858,"")</f>
        <v/>
      </c>
    </row>
    <row r="859" customFormat="false" ht="15" hidden="false" customHeight="false" outlineLevel="0" collapsed="false">
      <c r="A859" s="41" t="str">
        <f aca="false">IF(B859="","",ROW()-3)</f>
        <v/>
      </c>
      <c r="B859" s="42"/>
      <c r="C859" s="43"/>
      <c r="G859" s="44"/>
      <c r="H859" s="43"/>
      <c r="I859" s="44" t="n">
        <f aca="false">IF(F859="",0,F859*G859)</f>
        <v>0</v>
      </c>
      <c r="N859" s="44" t="str">
        <f aca="false">IF(AND(M859&lt;&gt;"",F859&lt;&gt;""),F859*M859,"")</f>
        <v/>
      </c>
    </row>
    <row r="860" customFormat="false" ht="15" hidden="false" customHeight="false" outlineLevel="0" collapsed="false">
      <c r="A860" s="37" t="str">
        <f aca="false">IF(B860="","",ROW()-3)</f>
        <v/>
      </c>
      <c r="B860" s="38"/>
      <c r="C860" s="39"/>
      <c r="D860" s="39"/>
      <c r="E860" s="39"/>
      <c r="F860" s="39"/>
      <c r="G860" s="40"/>
      <c r="H860" s="39"/>
      <c r="I860" s="40" t="n">
        <f aca="false">IF(F860="",0,F860*G860)</f>
        <v>0</v>
      </c>
      <c r="J860" s="39"/>
      <c r="K860" s="39"/>
      <c r="L860" s="39"/>
      <c r="M860" s="39"/>
      <c r="N860" s="40" t="str">
        <f aca="false">IF(AND(M860&lt;&gt;"",F860&lt;&gt;""),F860*M860,"")</f>
        <v/>
      </c>
    </row>
    <row r="861" customFormat="false" ht="15" hidden="false" customHeight="false" outlineLevel="0" collapsed="false">
      <c r="A861" s="41" t="str">
        <f aca="false">IF(B861="","",ROW()-3)</f>
        <v/>
      </c>
      <c r="B861" s="42"/>
      <c r="C861" s="43"/>
      <c r="G861" s="44"/>
      <c r="H861" s="43"/>
      <c r="I861" s="44" t="n">
        <f aca="false">IF(F861="",0,F861*G861)</f>
        <v>0</v>
      </c>
      <c r="N861" s="44" t="str">
        <f aca="false">IF(AND(M861&lt;&gt;"",F861&lt;&gt;""),F861*M861,"")</f>
        <v/>
      </c>
    </row>
    <row r="862" customFormat="false" ht="15" hidden="false" customHeight="false" outlineLevel="0" collapsed="false">
      <c r="A862" s="37" t="str">
        <f aca="false">IF(B862="","",ROW()-3)</f>
        <v/>
      </c>
      <c r="B862" s="38"/>
      <c r="C862" s="39"/>
      <c r="D862" s="39"/>
      <c r="E862" s="39"/>
      <c r="F862" s="39"/>
      <c r="G862" s="40"/>
      <c r="H862" s="39"/>
      <c r="I862" s="40" t="n">
        <f aca="false">IF(F862="",0,F862*G862)</f>
        <v>0</v>
      </c>
      <c r="J862" s="39"/>
      <c r="K862" s="39"/>
      <c r="L862" s="39"/>
      <c r="M862" s="39"/>
      <c r="N862" s="40" t="str">
        <f aca="false">IF(AND(M862&lt;&gt;"",F862&lt;&gt;""),F862*M862,"")</f>
        <v/>
      </c>
    </row>
    <row r="863" customFormat="false" ht="15" hidden="false" customHeight="false" outlineLevel="0" collapsed="false">
      <c r="A863" s="41" t="str">
        <f aca="false">IF(B863="","",ROW()-3)</f>
        <v/>
      </c>
      <c r="B863" s="42"/>
      <c r="C863" s="43"/>
      <c r="G863" s="44"/>
      <c r="H863" s="43"/>
      <c r="I863" s="44" t="n">
        <f aca="false">IF(F863="",0,F863*G863)</f>
        <v>0</v>
      </c>
      <c r="N863" s="44" t="str">
        <f aca="false">IF(AND(M863&lt;&gt;"",F863&lt;&gt;""),F863*M863,"")</f>
        <v/>
      </c>
    </row>
    <row r="864" customFormat="false" ht="15" hidden="false" customHeight="false" outlineLevel="0" collapsed="false">
      <c r="A864" s="37" t="str">
        <f aca="false">IF(B864="","",ROW()-3)</f>
        <v/>
      </c>
      <c r="B864" s="38"/>
      <c r="C864" s="39"/>
      <c r="D864" s="39"/>
      <c r="E864" s="39"/>
      <c r="F864" s="39"/>
      <c r="G864" s="40"/>
      <c r="H864" s="39"/>
      <c r="I864" s="40" t="n">
        <f aca="false">IF(F864="",0,F864*G864)</f>
        <v>0</v>
      </c>
      <c r="J864" s="39"/>
      <c r="K864" s="39"/>
      <c r="L864" s="39"/>
      <c r="M864" s="39"/>
      <c r="N864" s="40" t="str">
        <f aca="false">IF(AND(M864&lt;&gt;"",F864&lt;&gt;""),F864*M864,"")</f>
        <v/>
      </c>
    </row>
    <row r="865" customFormat="false" ht="15" hidden="false" customHeight="false" outlineLevel="0" collapsed="false">
      <c r="A865" s="41" t="str">
        <f aca="false">IF(B865="","",ROW()-3)</f>
        <v/>
      </c>
      <c r="B865" s="42"/>
      <c r="C865" s="43"/>
      <c r="G865" s="44"/>
      <c r="H865" s="43"/>
      <c r="I865" s="44" t="n">
        <f aca="false">IF(F865="",0,F865*G865)</f>
        <v>0</v>
      </c>
      <c r="N865" s="44" t="str">
        <f aca="false">IF(AND(M865&lt;&gt;"",F865&lt;&gt;""),F865*M865,"")</f>
        <v/>
      </c>
    </row>
    <row r="866" customFormat="false" ht="15" hidden="false" customHeight="false" outlineLevel="0" collapsed="false">
      <c r="A866" s="37" t="str">
        <f aca="false">IF(B866="","",ROW()-3)</f>
        <v/>
      </c>
      <c r="B866" s="38"/>
      <c r="C866" s="39"/>
      <c r="D866" s="39"/>
      <c r="E866" s="39"/>
      <c r="F866" s="39"/>
      <c r="G866" s="40"/>
      <c r="H866" s="39"/>
      <c r="I866" s="40" t="n">
        <f aca="false">IF(F866="",0,F866*G866)</f>
        <v>0</v>
      </c>
      <c r="J866" s="39"/>
      <c r="K866" s="39"/>
      <c r="L866" s="39"/>
      <c r="M866" s="39"/>
      <c r="N866" s="40" t="str">
        <f aca="false">IF(AND(M866&lt;&gt;"",F866&lt;&gt;""),F866*M866,"")</f>
        <v/>
      </c>
    </row>
    <row r="867" customFormat="false" ht="15" hidden="false" customHeight="false" outlineLevel="0" collapsed="false">
      <c r="A867" s="41" t="str">
        <f aca="false">IF(B867="","",ROW()-3)</f>
        <v/>
      </c>
      <c r="B867" s="42"/>
      <c r="C867" s="43"/>
      <c r="G867" s="44"/>
      <c r="H867" s="43"/>
      <c r="I867" s="44" t="n">
        <f aca="false">IF(F867="",0,F867*G867)</f>
        <v>0</v>
      </c>
      <c r="N867" s="44" t="str">
        <f aca="false">IF(AND(M867&lt;&gt;"",F867&lt;&gt;""),F867*M867,"")</f>
        <v/>
      </c>
    </row>
    <row r="868" customFormat="false" ht="15" hidden="false" customHeight="false" outlineLevel="0" collapsed="false">
      <c r="A868" s="37" t="str">
        <f aca="false">IF(B868="","",ROW()-3)</f>
        <v/>
      </c>
      <c r="B868" s="38"/>
      <c r="C868" s="39"/>
      <c r="D868" s="39"/>
      <c r="E868" s="39"/>
      <c r="F868" s="39"/>
      <c r="G868" s="40"/>
      <c r="H868" s="39"/>
      <c r="I868" s="40" t="n">
        <f aca="false">IF(F868="",0,F868*G868)</f>
        <v>0</v>
      </c>
      <c r="J868" s="39"/>
      <c r="K868" s="39"/>
      <c r="L868" s="39"/>
      <c r="M868" s="39"/>
      <c r="N868" s="40" t="str">
        <f aca="false">IF(AND(M868&lt;&gt;"",F868&lt;&gt;""),F868*M868,"")</f>
        <v/>
      </c>
    </row>
    <row r="869" customFormat="false" ht="15" hidden="false" customHeight="false" outlineLevel="0" collapsed="false">
      <c r="A869" s="41" t="str">
        <f aca="false">IF(B869="","",ROW()-3)</f>
        <v/>
      </c>
      <c r="B869" s="42"/>
      <c r="C869" s="43"/>
      <c r="G869" s="44"/>
      <c r="H869" s="43"/>
      <c r="I869" s="44" t="n">
        <f aca="false">IF(F869="",0,F869*G869)</f>
        <v>0</v>
      </c>
      <c r="N869" s="44" t="str">
        <f aca="false">IF(AND(M869&lt;&gt;"",F869&lt;&gt;""),F869*M869,"")</f>
        <v/>
      </c>
    </row>
    <row r="870" customFormat="false" ht="15" hidden="false" customHeight="false" outlineLevel="0" collapsed="false">
      <c r="A870" s="37" t="str">
        <f aca="false">IF(B870="","",ROW()-3)</f>
        <v/>
      </c>
      <c r="B870" s="38"/>
      <c r="C870" s="39"/>
      <c r="D870" s="39"/>
      <c r="E870" s="39"/>
      <c r="F870" s="39"/>
      <c r="G870" s="40"/>
      <c r="H870" s="39"/>
      <c r="I870" s="40" t="n">
        <f aca="false">IF(F870="",0,F870*G870)</f>
        <v>0</v>
      </c>
      <c r="J870" s="39"/>
      <c r="K870" s="39"/>
      <c r="L870" s="39"/>
      <c r="M870" s="39"/>
      <c r="N870" s="40" t="str">
        <f aca="false">IF(AND(M870&lt;&gt;"",F870&lt;&gt;""),F870*M870,"")</f>
        <v/>
      </c>
    </row>
    <row r="871" customFormat="false" ht="15" hidden="false" customHeight="false" outlineLevel="0" collapsed="false">
      <c r="A871" s="41" t="str">
        <f aca="false">IF(B871="","",ROW()-3)</f>
        <v/>
      </c>
      <c r="B871" s="42"/>
      <c r="C871" s="43"/>
      <c r="G871" s="44"/>
      <c r="H871" s="43"/>
      <c r="I871" s="44" t="n">
        <f aca="false">IF(F871="",0,F871*G871)</f>
        <v>0</v>
      </c>
      <c r="N871" s="44" t="str">
        <f aca="false">IF(AND(M871&lt;&gt;"",F871&lt;&gt;""),F871*M871,"")</f>
        <v/>
      </c>
    </row>
    <row r="872" customFormat="false" ht="15" hidden="false" customHeight="false" outlineLevel="0" collapsed="false">
      <c r="A872" s="37" t="str">
        <f aca="false">IF(B872="","",ROW()-3)</f>
        <v/>
      </c>
      <c r="B872" s="38"/>
      <c r="C872" s="39"/>
      <c r="D872" s="39"/>
      <c r="E872" s="39"/>
      <c r="F872" s="39"/>
      <c r="G872" s="40"/>
      <c r="H872" s="39"/>
      <c r="I872" s="40" t="n">
        <f aca="false">IF(F872="",0,F872*G872)</f>
        <v>0</v>
      </c>
      <c r="J872" s="39"/>
      <c r="K872" s="39"/>
      <c r="L872" s="39"/>
      <c r="M872" s="39"/>
      <c r="N872" s="40" t="str">
        <f aca="false">IF(AND(M872&lt;&gt;"",F872&lt;&gt;""),F872*M872,"")</f>
        <v/>
      </c>
    </row>
    <row r="873" customFormat="false" ht="15" hidden="false" customHeight="false" outlineLevel="0" collapsed="false">
      <c r="A873" s="41" t="str">
        <f aca="false">IF(B873="","",ROW()-3)</f>
        <v/>
      </c>
      <c r="B873" s="42"/>
      <c r="C873" s="43"/>
      <c r="G873" s="44"/>
      <c r="H873" s="43"/>
      <c r="I873" s="44" t="n">
        <f aca="false">IF(F873="",0,F873*G873)</f>
        <v>0</v>
      </c>
      <c r="N873" s="44" t="str">
        <f aca="false">IF(AND(M873&lt;&gt;"",F873&lt;&gt;""),F873*M873,"")</f>
        <v/>
      </c>
    </row>
    <row r="874" customFormat="false" ht="15" hidden="false" customHeight="false" outlineLevel="0" collapsed="false">
      <c r="A874" s="37" t="str">
        <f aca="false">IF(B874="","",ROW()-3)</f>
        <v/>
      </c>
      <c r="B874" s="38"/>
      <c r="C874" s="39"/>
      <c r="D874" s="39"/>
      <c r="E874" s="39"/>
      <c r="F874" s="39"/>
      <c r="G874" s="40"/>
      <c r="H874" s="39"/>
      <c r="I874" s="40" t="n">
        <f aca="false">IF(F874="",0,F874*G874)</f>
        <v>0</v>
      </c>
      <c r="J874" s="39"/>
      <c r="K874" s="39"/>
      <c r="L874" s="39"/>
      <c r="M874" s="39"/>
      <c r="N874" s="40" t="str">
        <f aca="false">IF(AND(M874&lt;&gt;"",F874&lt;&gt;""),F874*M874,"")</f>
        <v/>
      </c>
    </row>
    <row r="875" customFormat="false" ht="15" hidden="false" customHeight="false" outlineLevel="0" collapsed="false">
      <c r="A875" s="41" t="str">
        <f aca="false">IF(B875="","",ROW()-3)</f>
        <v/>
      </c>
      <c r="B875" s="42"/>
      <c r="C875" s="43"/>
      <c r="G875" s="44"/>
      <c r="H875" s="43"/>
      <c r="I875" s="44" t="n">
        <f aca="false">IF(F875="",0,F875*G875)</f>
        <v>0</v>
      </c>
      <c r="N875" s="44" t="str">
        <f aca="false">IF(AND(M875&lt;&gt;"",F875&lt;&gt;""),F875*M875,"")</f>
        <v/>
      </c>
    </row>
    <row r="876" customFormat="false" ht="15" hidden="false" customHeight="false" outlineLevel="0" collapsed="false">
      <c r="A876" s="37" t="str">
        <f aca="false">IF(B876="","",ROW()-3)</f>
        <v/>
      </c>
      <c r="B876" s="38"/>
      <c r="C876" s="39"/>
      <c r="D876" s="39"/>
      <c r="E876" s="39"/>
      <c r="F876" s="39"/>
      <c r="G876" s="40"/>
      <c r="H876" s="39"/>
      <c r="I876" s="40" t="n">
        <f aca="false">IF(F876="",0,F876*G876)</f>
        <v>0</v>
      </c>
      <c r="J876" s="39"/>
      <c r="K876" s="39"/>
      <c r="L876" s="39"/>
      <c r="M876" s="39"/>
      <c r="N876" s="40" t="str">
        <f aca="false">IF(AND(M876&lt;&gt;"",F876&lt;&gt;""),F876*M876,"")</f>
        <v/>
      </c>
    </row>
    <row r="877" customFormat="false" ht="15" hidden="false" customHeight="false" outlineLevel="0" collapsed="false">
      <c r="A877" s="41" t="str">
        <f aca="false">IF(B877="","",ROW()-3)</f>
        <v/>
      </c>
      <c r="B877" s="42"/>
      <c r="C877" s="43"/>
      <c r="G877" s="44"/>
      <c r="H877" s="43"/>
      <c r="I877" s="44" t="n">
        <f aca="false">IF(F877="",0,F877*G877)</f>
        <v>0</v>
      </c>
      <c r="N877" s="44" t="str">
        <f aca="false">IF(AND(M877&lt;&gt;"",F877&lt;&gt;""),F877*M877,"")</f>
        <v/>
      </c>
    </row>
    <row r="878" customFormat="false" ht="15" hidden="false" customHeight="false" outlineLevel="0" collapsed="false">
      <c r="A878" s="37" t="str">
        <f aca="false">IF(B878="","",ROW()-3)</f>
        <v/>
      </c>
      <c r="B878" s="38"/>
      <c r="C878" s="39"/>
      <c r="D878" s="39"/>
      <c r="E878" s="39"/>
      <c r="F878" s="39"/>
      <c r="G878" s="40"/>
      <c r="H878" s="39"/>
      <c r="I878" s="40" t="n">
        <f aca="false">IF(F878="",0,F878*G878)</f>
        <v>0</v>
      </c>
      <c r="J878" s="39"/>
      <c r="K878" s="39"/>
      <c r="L878" s="39"/>
      <c r="M878" s="39"/>
      <c r="N878" s="40" t="str">
        <f aca="false">IF(AND(M878&lt;&gt;"",F878&lt;&gt;""),F878*M878,"")</f>
        <v/>
      </c>
    </row>
    <row r="879" customFormat="false" ht="15" hidden="false" customHeight="false" outlineLevel="0" collapsed="false">
      <c r="A879" s="41" t="str">
        <f aca="false">IF(B879="","",ROW()-3)</f>
        <v/>
      </c>
      <c r="B879" s="42"/>
      <c r="C879" s="43"/>
      <c r="G879" s="44"/>
      <c r="H879" s="43"/>
      <c r="I879" s="44" t="n">
        <f aca="false">IF(F879="",0,F879*G879)</f>
        <v>0</v>
      </c>
      <c r="N879" s="44" t="str">
        <f aca="false">IF(AND(M879&lt;&gt;"",F879&lt;&gt;""),F879*M879,"")</f>
        <v/>
      </c>
    </row>
    <row r="880" customFormat="false" ht="15" hidden="false" customHeight="false" outlineLevel="0" collapsed="false">
      <c r="A880" s="37" t="str">
        <f aca="false">IF(B880="","",ROW()-3)</f>
        <v/>
      </c>
      <c r="B880" s="38"/>
      <c r="C880" s="39"/>
      <c r="D880" s="39"/>
      <c r="E880" s="39"/>
      <c r="F880" s="39"/>
      <c r="G880" s="40"/>
      <c r="H880" s="39"/>
      <c r="I880" s="40" t="n">
        <f aca="false">IF(F880="",0,F880*G880)</f>
        <v>0</v>
      </c>
      <c r="J880" s="39"/>
      <c r="K880" s="39"/>
      <c r="L880" s="39"/>
      <c r="M880" s="39"/>
      <c r="N880" s="40" t="str">
        <f aca="false">IF(AND(M880&lt;&gt;"",F880&lt;&gt;""),F880*M880,"")</f>
        <v/>
      </c>
    </row>
    <row r="881" customFormat="false" ht="15" hidden="false" customHeight="false" outlineLevel="0" collapsed="false">
      <c r="A881" s="41" t="str">
        <f aca="false">IF(B881="","",ROW()-3)</f>
        <v/>
      </c>
      <c r="B881" s="42"/>
      <c r="C881" s="43"/>
      <c r="G881" s="44"/>
      <c r="H881" s="43"/>
      <c r="I881" s="44" t="n">
        <f aca="false">IF(F881="",0,F881*G881)</f>
        <v>0</v>
      </c>
      <c r="N881" s="44" t="str">
        <f aca="false">IF(AND(M881&lt;&gt;"",F881&lt;&gt;""),F881*M881,"")</f>
        <v/>
      </c>
    </row>
    <row r="882" customFormat="false" ht="15" hidden="false" customHeight="false" outlineLevel="0" collapsed="false">
      <c r="A882" s="37" t="str">
        <f aca="false">IF(B882="","",ROW()-3)</f>
        <v/>
      </c>
      <c r="B882" s="38"/>
      <c r="C882" s="39"/>
      <c r="D882" s="39"/>
      <c r="E882" s="39"/>
      <c r="F882" s="39"/>
      <c r="G882" s="40"/>
      <c r="H882" s="39"/>
      <c r="I882" s="40" t="n">
        <f aca="false">IF(F882="",0,F882*G882)</f>
        <v>0</v>
      </c>
      <c r="J882" s="39"/>
      <c r="K882" s="39"/>
      <c r="L882" s="39"/>
      <c r="M882" s="39"/>
      <c r="N882" s="40" t="str">
        <f aca="false">IF(AND(M882&lt;&gt;"",F882&lt;&gt;""),F882*M882,"")</f>
        <v/>
      </c>
    </row>
    <row r="883" customFormat="false" ht="15" hidden="false" customHeight="false" outlineLevel="0" collapsed="false">
      <c r="A883" s="41" t="str">
        <f aca="false">IF(B883="","",ROW()-3)</f>
        <v/>
      </c>
      <c r="B883" s="42"/>
      <c r="C883" s="43"/>
      <c r="G883" s="44"/>
      <c r="H883" s="43"/>
      <c r="I883" s="44" t="n">
        <f aca="false">IF(F883="",0,F883*G883)</f>
        <v>0</v>
      </c>
      <c r="N883" s="44" t="str">
        <f aca="false">IF(AND(M883&lt;&gt;"",F883&lt;&gt;""),F883*M883,"")</f>
        <v/>
      </c>
    </row>
    <row r="884" customFormat="false" ht="15" hidden="false" customHeight="false" outlineLevel="0" collapsed="false">
      <c r="A884" s="37" t="str">
        <f aca="false">IF(B884="","",ROW()-3)</f>
        <v/>
      </c>
      <c r="B884" s="38"/>
      <c r="C884" s="39"/>
      <c r="D884" s="39"/>
      <c r="E884" s="39"/>
      <c r="F884" s="39"/>
      <c r="G884" s="40"/>
      <c r="H884" s="39"/>
      <c r="I884" s="40" t="n">
        <f aca="false">IF(F884="",0,F884*G884)</f>
        <v>0</v>
      </c>
      <c r="J884" s="39"/>
      <c r="K884" s="39"/>
      <c r="L884" s="39"/>
      <c r="M884" s="39"/>
      <c r="N884" s="40" t="str">
        <f aca="false">IF(AND(M884&lt;&gt;"",F884&lt;&gt;""),F884*M884,"")</f>
        <v/>
      </c>
    </row>
    <row r="885" customFormat="false" ht="15" hidden="false" customHeight="false" outlineLevel="0" collapsed="false">
      <c r="A885" s="41" t="str">
        <f aca="false">IF(B885="","",ROW()-3)</f>
        <v/>
      </c>
      <c r="B885" s="42"/>
      <c r="C885" s="43"/>
      <c r="G885" s="44"/>
      <c r="H885" s="43"/>
      <c r="I885" s="44" t="n">
        <f aca="false">IF(F885="",0,F885*G885)</f>
        <v>0</v>
      </c>
      <c r="N885" s="44" t="str">
        <f aca="false">IF(AND(M885&lt;&gt;"",F885&lt;&gt;""),F885*M885,"")</f>
        <v/>
      </c>
    </row>
    <row r="886" customFormat="false" ht="15" hidden="false" customHeight="false" outlineLevel="0" collapsed="false">
      <c r="A886" s="37" t="str">
        <f aca="false">IF(B886="","",ROW()-3)</f>
        <v/>
      </c>
      <c r="B886" s="38"/>
      <c r="C886" s="39"/>
      <c r="D886" s="39"/>
      <c r="E886" s="39"/>
      <c r="F886" s="39"/>
      <c r="G886" s="40"/>
      <c r="H886" s="39"/>
      <c r="I886" s="40" t="n">
        <f aca="false">IF(F886="",0,F886*G886)</f>
        <v>0</v>
      </c>
      <c r="J886" s="39"/>
      <c r="K886" s="39"/>
      <c r="L886" s="39"/>
      <c r="M886" s="39"/>
      <c r="N886" s="40" t="str">
        <f aca="false">IF(AND(M886&lt;&gt;"",F886&lt;&gt;""),F886*M886,"")</f>
        <v/>
      </c>
    </row>
    <row r="887" customFormat="false" ht="15" hidden="false" customHeight="false" outlineLevel="0" collapsed="false">
      <c r="A887" s="41" t="str">
        <f aca="false">IF(B887="","",ROW()-3)</f>
        <v/>
      </c>
      <c r="B887" s="42"/>
      <c r="C887" s="43"/>
      <c r="G887" s="44"/>
      <c r="H887" s="43"/>
      <c r="I887" s="44" t="n">
        <f aca="false">IF(F887="",0,F887*G887)</f>
        <v>0</v>
      </c>
      <c r="N887" s="44" t="str">
        <f aca="false">IF(AND(M887&lt;&gt;"",F887&lt;&gt;""),F887*M887,"")</f>
        <v/>
      </c>
    </row>
    <row r="888" customFormat="false" ht="15" hidden="false" customHeight="false" outlineLevel="0" collapsed="false">
      <c r="A888" s="37" t="str">
        <f aca="false">IF(B888="","",ROW()-3)</f>
        <v/>
      </c>
      <c r="B888" s="38"/>
      <c r="C888" s="39"/>
      <c r="D888" s="39"/>
      <c r="E888" s="39"/>
      <c r="F888" s="39"/>
      <c r="G888" s="40"/>
      <c r="H888" s="39"/>
      <c r="I888" s="40" t="n">
        <f aca="false">IF(F888="",0,F888*G888)</f>
        <v>0</v>
      </c>
      <c r="J888" s="39"/>
      <c r="K888" s="39"/>
      <c r="L888" s="39"/>
      <c r="M888" s="39"/>
      <c r="N888" s="40" t="str">
        <f aca="false">IF(AND(M888&lt;&gt;"",F888&lt;&gt;""),F888*M888,"")</f>
        <v/>
      </c>
    </row>
    <row r="889" customFormat="false" ht="15" hidden="false" customHeight="false" outlineLevel="0" collapsed="false">
      <c r="A889" s="41" t="str">
        <f aca="false">IF(B889="","",ROW()-3)</f>
        <v/>
      </c>
      <c r="B889" s="42"/>
      <c r="C889" s="43"/>
      <c r="G889" s="44"/>
      <c r="H889" s="43"/>
      <c r="I889" s="44" t="n">
        <f aca="false">IF(F889="",0,F889*G889)</f>
        <v>0</v>
      </c>
      <c r="N889" s="44" t="str">
        <f aca="false">IF(AND(M889&lt;&gt;"",F889&lt;&gt;""),F889*M889,"")</f>
        <v/>
      </c>
    </row>
    <row r="890" customFormat="false" ht="15" hidden="false" customHeight="false" outlineLevel="0" collapsed="false">
      <c r="A890" s="37" t="str">
        <f aca="false">IF(B890="","",ROW()-3)</f>
        <v/>
      </c>
      <c r="B890" s="38"/>
      <c r="C890" s="39"/>
      <c r="D890" s="39"/>
      <c r="E890" s="39"/>
      <c r="F890" s="39"/>
      <c r="G890" s="40"/>
      <c r="H890" s="39"/>
      <c r="I890" s="40" t="n">
        <f aca="false">IF(F890="",0,F890*G890)</f>
        <v>0</v>
      </c>
      <c r="J890" s="39"/>
      <c r="K890" s="39"/>
      <c r="L890" s="39"/>
      <c r="M890" s="39"/>
      <c r="N890" s="40" t="str">
        <f aca="false">IF(AND(M890&lt;&gt;"",F890&lt;&gt;""),F890*M890,"")</f>
        <v/>
      </c>
    </row>
    <row r="891" customFormat="false" ht="15" hidden="false" customHeight="false" outlineLevel="0" collapsed="false">
      <c r="A891" s="41" t="str">
        <f aca="false">IF(B891="","",ROW()-3)</f>
        <v/>
      </c>
      <c r="B891" s="42"/>
      <c r="C891" s="43"/>
      <c r="G891" s="44"/>
      <c r="H891" s="43"/>
      <c r="I891" s="44" t="n">
        <f aca="false">IF(F891="",0,F891*G891)</f>
        <v>0</v>
      </c>
      <c r="N891" s="44" t="str">
        <f aca="false">IF(AND(M891&lt;&gt;"",F891&lt;&gt;""),F891*M891,"")</f>
        <v/>
      </c>
    </row>
    <row r="892" customFormat="false" ht="15" hidden="false" customHeight="false" outlineLevel="0" collapsed="false">
      <c r="A892" s="37" t="str">
        <f aca="false">IF(B892="","",ROW()-3)</f>
        <v/>
      </c>
      <c r="B892" s="38"/>
      <c r="C892" s="39"/>
      <c r="D892" s="39"/>
      <c r="E892" s="39"/>
      <c r="F892" s="39"/>
      <c r="G892" s="40"/>
      <c r="H892" s="39"/>
      <c r="I892" s="40" t="n">
        <f aca="false">IF(F892="",0,F892*G892)</f>
        <v>0</v>
      </c>
      <c r="J892" s="39"/>
      <c r="K892" s="39"/>
      <c r="L892" s="39"/>
      <c r="M892" s="39"/>
      <c r="N892" s="40" t="str">
        <f aca="false">IF(AND(M892&lt;&gt;"",F892&lt;&gt;""),F892*M892,"")</f>
        <v/>
      </c>
    </row>
    <row r="893" customFormat="false" ht="15" hidden="false" customHeight="false" outlineLevel="0" collapsed="false">
      <c r="A893" s="41" t="str">
        <f aca="false">IF(B893="","",ROW()-3)</f>
        <v/>
      </c>
      <c r="B893" s="42"/>
      <c r="C893" s="43"/>
      <c r="G893" s="44"/>
      <c r="H893" s="43"/>
      <c r="I893" s="44" t="n">
        <f aca="false">IF(F893="",0,F893*G893)</f>
        <v>0</v>
      </c>
      <c r="N893" s="44" t="str">
        <f aca="false">IF(AND(M893&lt;&gt;"",F893&lt;&gt;""),F893*M893,"")</f>
        <v/>
      </c>
    </row>
    <row r="894" customFormat="false" ht="15" hidden="false" customHeight="false" outlineLevel="0" collapsed="false">
      <c r="A894" s="37" t="str">
        <f aca="false">IF(B894="","",ROW()-3)</f>
        <v/>
      </c>
      <c r="B894" s="38"/>
      <c r="C894" s="39"/>
      <c r="D894" s="39"/>
      <c r="E894" s="39"/>
      <c r="F894" s="39"/>
      <c r="G894" s="40"/>
      <c r="H894" s="39"/>
      <c r="I894" s="40" t="n">
        <f aca="false">IF(F894="",0,F894*G894)</f>
        <v>0</v>
      </c>
      <c r="J894" s="39"/>
      <c r="K894" s="39"/>
      <c r="L894" s="39"/>
      <c r="M894" s="39"/>
      <c r="N894" s="40" t="str">
        <f aca="false">IF(AND(M894&lt;&gt;"",F894&lt;&gt;""),F894*M894,"")</f>
        <v/>
      </c>
    </row>
    <row r="895" customFormat="false" ht="15" hidden="false" customHeight="false" outlineLevel="0" collapsed="false">
      <c r="A895" s="41" t="str">
        <f aca="false">IF(B895="","",ROW()-3)</f>
        <v/>
      </c>
      <c r="B895" s="42"/>
      <c r="C895" s="43"/>
      <c r="G895" s="44"/>
      <c r="H895" s="43"/>
      <c r="I895" s="44" t="n">
        <f aca="false">IF(F895="",0,F895*G895)</f>
        <v>0</v>
      </c>
      <c r="N895" s="44" t="str">
        <f aca="false">IF(AND(M895&lt;&gt;"",F895&lt;&gt;""),F895*M895,"")</f>
        <v/>
      </c>
    </row>
    <row r="896" customFormat="false" ht="15" hidden="false" customHeight="false" outlineLevel="0" collapsed="false">
      <c r="A896" s="37" t="str">
        <f aca="false">IF(B896="","",ROW()-3)</f>
        <v/>
      </c>
      <c r="B896" s="38"/>
      <c r="C896" s="39"/>
      <c r="D896" s="39"/>
      <c r="E896" s="39"/>
      <c r="F896" s="39"/>
      <c r="G896" s="40"/>
      <c r="H896" s="39"/>
      <c r="I896" s="40" t="n">
        <f aca="false">IF(F896="",0,F896*G896)</f>
        <v>0</v>
      </c>
      <c r="J896" s="39"/>
      <c r="K896" s="39"/>
      <c r="L896" s="39"/>
      <c r="M896" s="39"/>
      <c r="N896" s="40" t="str">
        <f aca="false">IF(AND(M896&lt;&gt;"",F896&lt;&gt;""),F896*M896,"")</f>
        <v/>
      </c>
    </row>
    <row r="897" customFormat="false" ht="15" hidden="false" customHeight="false" outlineLevel="0" collapsed="false">
      <c r="A897" s="41" t="str">
        <f aca="false">IF(B897="","",ROW()-3)</f>
        <v/>
      </c>
      <c r="B897" s="42"/>
      <c r="C897" s="43"/>
      <c r="G897" s="44"/>
      <c r="H897" s="43"/>
      <c r="I897" s="44" t="n">
        <f aca="false">IF(F897="",0,F897*G897)</f>
        <v>0</v>
      </c>
      <c r="N897" s="44" t="str">
        <f aca="false">IF(AND(M897&lt;&gt;"",F897&lt;&gt;""),F897*M897,"")</f>
        <v/>
      </c>
    </row>
    <row r="898" customFormat="false" ht="15" hidden="false" customHeight="false" outlineLevel="0" collapsed="false">
      <c r="A898" s="37" t="str">
        <f aca="false">IF(B898="","",ROW()-3)</f>
        <v/>
      </c>
      <c r="B898" s="38"/>
      <c r="C898" s="39"/>
      <c r="D898" s="39"/>
      <c r="E898" s="39"/>
      <c r="F898" s="39"/>
      <c r="G898" s="40"/>
      <c r="H898" s="39"/>
      <c r="I898" s="40" t="n">
        <f aca="false">IF(F898="",0,F898*G898)</f>
        <v>0</v>
      </c>
      <c r="J898" s="39"/>
      <c r="K898" s="39"/>
      <c r="L898" s="39"/>
      <c r="M898" s="39"/>
      <c r="N898" s="40" t="str">
        <f aca="false">IF(AND(M898&lt;&gt;"",F898&lt;&gt;""),F898*M898,"")</f>
        <v/>
      </c>
    </row>
    <row r="899" customFormat="false" ht="15" hidden="false" customHeight="false" outlineLevel="0" collapsed="false">
      <c r="A899" s="41" t="str">
        <f aca="false">IF(B899="","",ROW()-3)</f>
        <v/>
      </c>
      <c r="B899" s="42"/>
      <c r="C899" s="43"/>
      <c r="G899" s="44"/>
      <c r="H899" s="43"/>
      <c r="I899" s="44" t="n">
        <f aca="false">IF(F899="",0,F899*G899)</f>
        <v>0</v>
      </c>
      <c r="N899" s="44" t="str">
        <f aca="false">IF(AND(M899&lt;&gt;"",F899&lt;&gt;""),F899*M899,"")</f>
        <v/>
      </c>
    </row>
    <row r="900" customFormat="false" ht="15" hidden="false" customHeight="false" outlineLevel="0" collapsed="false">
      <c r="A900" s="37" t="str">
        <f aca="false">IF(B900="","",ROW()-3)</f>
        <v/>
      </c>
      <c r="B900" s="38"/>
      <c r="C900" s="39"/>
      <c r="D900" s="39"/>
      <c r="E900" s="39"/>
      <c r="F900" s="39"/>
      <c r="G900" s="40"/>
      <c r="H900" s="39"/>
      <c r="I900" s="40" t="n">
        <f aca="false">IF(F900="",0,F900*G900)</f>
        <v>0</v>
      </c>
      <c r="J900" s="39"/>
      <c r="K900" s="39"/>
      <c r="L900" s="39"/>
      <c r="M900" s="39"/>
      <c r="N900" s="40" t="str">
        <f aca="false">IF(AND(M900&lt;&gt;"",F900&lt;&gt;""),F900*M900,"")</f>
        <v/>
      </c>
    </row>
    <row r="901" customFormat="false" ht="15" hidden="false" customHeight="false" outlineLevel="0" collapsed="false">
      <c r="A901" s="41" t="str">
        <f aca="false">IF(B901="","",ROW()-3)</f>
        <v/>
      </c>
      <c r="B901" s="42"/>
      <c r="C901" s="43"/>
      <c r="G901" s="44"/>
      <c r="H901" s="43"/>
      <c r="I901" s="44" t="n">
        <f aca="false">IF(F901="",0,F901*G901)</f>
        <v>0</v>
      </c>
      <c r="N901" s="44" t="str">
        <f aca="false">IF(AND(M901&lt;&gt;"",F901&lt;&gt;""),F901*M901,"")</f>
        <v/>
      </c>
    </row>
    <row r="902" customFormat="false" ht="15" hidden="false" customHeight="false" outlineLevel="0" collapsed="false">
      <c r="A902" s="37" t="str">
        <f aca="false">IF(B902="","",ROW()-3)</f>
        <v/>
      </c>
      <c r="B902" s="38"/>
      <c r="C902" s="39"/>
      <c r="D902" s="39"/>
      <c r="E902" s="39"/>
      <c r="F902" s="39"/>
      <c r="G902" s="40"/>
      <c r="H902" s="39"/>
      <c r="I902" s="40" t="n">
        <f aca="false">IF(F902="",0,F902*G902)</f>
        <v>0</v>
      </c>
      <c r="J902" s="39"/>
      <c r="K902" s="39"/>
      <c r="L902" s="39"/>
      <c r="M902" s="39"/>
      <c r="N902" s="40" t="str">
        <f aca="false">IF(AND(M902&lt;&gt;"",F902&lt;&gt;""),F902*M902,"")</f>
        <v/>
      </c>
    </row>
    <row r="903" customFormat="false" ht="15" hidden="false" customHeight="false" outlineLevel="0" collapsed="false">
      <c r="A903" s="41" t="str">
        <f aca="false">IF(B903="","",ROW()-3)</f>
        <v/>
      </c>
      <c r="B903" s="42"/>
      <c r="C903" s="43"/>
      <c r="G903" s="44"/>
      <c r="H903" s="43"/>
      <c r="I903" s="44" t="n">
        <f aca="false">IF(F903="",0,F903*G903)</f>
        <v>0</v>
      </c>
      <c r="N903" s="44" t="str">
        <f aca="false">IF(AND(M903&lt;&gt;"",F903&lt;&gt;""),F903*M903,"")</f>
        <v/>
      </c>
    </row>
    <row r="904" customFormat="false" ht="15" hidden="false" customHeight="false" outlineLevel="0" collapsed="false">
      <c r="A904" s="37" t="str">
        <f aca="false">IF(B904="","",ROW()-3)</f>
        <v/>
      </c>
      <c r="B904" s="38"/>
      <c r="C904" s="39"/>
      <c r="D904" s="39"/>
      <c r="E904" s="39"/>
      <c r="F904" s="39"/>
      <c r="G904" s="40"/>
      <c r="H904" s="39"/>
      <c r="I904" s="40" t="n">
        <f aca="false">IF(F904="",0,F904*G904)</f>
        <v>0</v>
      </c>
      <c r="J904" s="39"/>
      <c r="K904" s="39"/>
      <c r="L904" s="39"/>
      <c r="M904" s="39"/>
      <c r="N904" s="40" t="str">
        <f aca="false">IF(AND(M904&lt;&gt;"",F904&lt;&gt;""),F904*M904,"")</f>
        <v/>
      </c>
    </row>
    <row r="905" customFormat="false" ht="15" hidden="false" customHeight="false" outlineLevel="0" collapsed="false">
      <c r="A905" s="41" t="str">
        <f aca="false">IF(B905="","",ROW()-3)</f>
        <v/>
      </c>
      <c r="B905" s="42"/>
      <c r="C905" s="43"/>
      <c r="G905" s="44"/>
      <c r="H905" s="43"/>
      <c r="I905" s="44" t="n">
        <f aca="false">IF(F905="",0,F905*G905)</f>
        <v>0</v>
      </c>
      <c r="N905" s="44" t="str">
        <f aca="false">IF(AND(M905&lt;&gt;"",F905&lt;&gt;""),F905*M905,"")</f>
        <v/>
      </c>
    </row>
    <row r="906" customFormat="false" ht="15" hidden="false" customHeight="false" outlineLevel="0" collapsed="false">
      <c r="A906" s="37" t="str">
        <f aca="false">IF(B906="","",ROW()-3)</f>
        <v/>
      </c>
      <c r="B906" s="38"/>
      <c r="C906" s="39"/>
      <c r="D906" s="39"/>
      <c r="E906" s="39"/>
      <c r="F906" s="39"/>
      <c r="G906" s="40"/>
      <c r="H906" s="39"/>
      <c r="I906" s="40" t="n">
        <f aca="false">IF(F906="",0,F906*G906)</f>
        <v>0</v>
      </c>
      <c r="J906" s="39"/>
      <c r="K906" s="39"/>
      <c r="L906" s="39"/>
      <c r="M906" s="39"/>
      <c r="N906" s="40" t="str">
        <f aca="false">IF(AND(M906&lt;&gt;"",F906&lt;&gt;""),F906*M906,"")</f>
        <v/>
      </c>
    </row>
    <row r="907" customFormat="false" ht="15" hidden="false" customHeight="false" outlineLevel="0" collapsed="false">
      <c r="A907" s="41" t="str">
        <f aca="false">IF(B907="","",ROW()-3)</f>
        <v/>
      </c>
      <c r="B907" s="42"/>
      <c r="C907" s="43"/>
      <c r="G907" s="44"/>
      <c r="H907" s="43"/>
      <c r="I907" s="44" t="n">
        <f aca="false">IF(F907="",0,F907*G907)</f>
        <v>0</v>
      </c>
      <c r="N907" s="44" t="str">
        <f aca="false">IF(AND(M907&lt;&gt;"",F907&lt;&gt;""),F907*M907,"")</f>
        <v/>
      </c>
    </row>
    <row r="908" customFormat="false" ht="15" hidden="false" customHeight="false" outlineLevel="0" collapsed="false">
      <c r="A908" s="37" t="str">
        <f aca="false">IF(B908="","",ROW()-3)</f>
        <v/>
      </c>
      <c r="B908" s="38"/>
      <c r="C908" s="39"/>
      <c r="D908" s="39"/>
      <c r="E908" s="39"/>
      <c r="F908" s="39"/>
      <c r="G908" s="40"/>
      <c r="H908" s="39"/>
      <c r="I908" s="40" t="n">
        <f aca="false">IF(F908="",0,F908*G908)</f>
        <v>0</v>
      </c>
      <c r="J908" s="39"/>
      <c r="K908" s="39"/>
      <c r="L908" s="39"/>
      <c r="M908" s="39"/>
      <c r="N908" s="40" t="str">
        <f aca="false">IF(AND(M908&lt;&gt;"",F908&lt;&gt;""),F908*M908,"")</f>
        <v/>
      </c>
    </row>
    <row r="909" customFormat="false" ht="15" hidden="false" customHeight="false" outlineLevel="0" collapsed="false">
      <c r="A909" s="41" t="str">
        <f aca="false">IF(B909="","",ROW()-3)</f>
        <v/>
      </c>
      <c r="B909" s="42"/>
      <c r="C909" s="43"/>
      <c r="G909" s="44"/>
      <c r="H909" s="43"/>
      <c r="I909" s="44" t="n">
        <f aca="false">IF(F909="",0,F909*G909)</f>
        <v>0</v>
      </c>
      <c r="N909" s="44" t="str">
        <f aca="false">IF(AND(M909&lt;&gt;"",F909&lt;&gt;""),F909*M909,"")</f>
        <v/>
      </c>
    </row>
    <row r="910" customFormat="false" ht="15" hidden="false" customHeight="false" outlineLevel="0" collapsed="false">
      <c r="A910" s="37" t="str">
        <f aca="false">IF(B910="","",ROW()-3)</f>
        <v/>
      </c>
      <c r="B910" s="38"/>
      <c r="C910" s="39"/>
      <c r="D910" s="39"/>
      <c r="E910" s="39"/>
      <c r="F910" s="39"/>
      <c r="G910" s="40"/>
      <c r="H910" s="39"/>
      <c r="I910" s="40" t="n">
        <f aca="false">IF(F910="",0,F910*G910)</f>
        <v>0</v>
      </c>
      <c r="J910" s="39"/>
      <c r="K910" s="39"/>
      <c r="L910" s="39"/>
      <c r="M910" s="39"/>
      <c r="N910" s="40" t="str">
        <f aca="false">IF(AND(M910&lt;&gt;"",F910&lt;&gt;""),F910*M910,"")</f>
        <v/>
      </c>
    </row>
    <row r="911" customFormat="false" ht="15" hidden="false" customHeight="false" outlineLevel="0" collapsed="false">
      <c r="A911" s="41" t="str">
        <f aca="false">IF(B911="","",ROW()-3)</f>
        <v/>
      </c>
      <c r="B911" s="42"/>
      <c r="C911" s="43"/>
      <c r="G911" s="44"/>
      <c r="H911" s="43"/>
      <c r="I911" s="44" t="n">
        <f aca="false">IF(F911="",0,F911*G911)</f>
        <v>0</v>
      </c>
      <c r="N911" s="44" t="str">
        <f aca="false">IF(AND(M911&lt;&gt;"",F911&lt;&gt;""),F911*M911,"")</f>
        <v/>
      </c>
    </row>
    <row r="912" customFormat="false" ht="15" hidden="false" customHeight="false" outlineLevel="0" collapsed="false">
      <c r="A912" s="37" t="str">
        <f aca="false">IF(B912="","",ROW()-3)</f>
        <v/>
      </c>
      <c r="B912" s="38"/>
      <c r="C912" s="39"/>
      <c r="D912" s="39"/>
      <c r="E912" s="39"/>
      <c r="F912" s="39"/>
      <c r="G912" s="40"/>
      <c r="H912" s="39"/>
      <c r="I912" s="40" t="n">
        <f aca="false">IF(F912="",0,F912*G912)</f>
        <v>0</v>
      </c>
      <c r="J912" s="39"/>
      <c r="K912" s="39"/>
      <c r="L912" s="39"/>
      <c r="M912" s="39"/>
      <c r="N912" s="40" t="str">
        <f aca="false">IF(AND(M912&lt;&gt;"",F912&lt;&gt;""),F912*M912,"")</f>
        <v/>
      </c>
    </row>
    <row r="913" customFormat="false" ht="15" hidden="false" customHeight="false" outlineLevel="0" collapsed="false">
      <c r="A913" s="41" t="str">
        <f aca="false">IF(B913="","",ROW()-3)</f>
        <v/>
      </c>
      <c r="B913" s="42"/>
      <c r="C913" s="43"/>
      <c r="G913" s="44"/>
      <c r="H913" s="43"/>
      <c r="I913" s="44" t="n">
        <f aca="false">IF(F913="",0,F913*G913)</f>
        <v>0</v>
      </c>
      <c r="N913" s="44" t="str">
        <f aca="false">IF(AND(M913&lt;&gt;"",F913&lt;&gt;""),F913*M913,"")</f>
        <v/>
      </c>
    </row>
    <row r="914" customFormat="false" ht="15" hidden="false" customHeight="false" outlineLevel="0" collapsed="false">
      <c r="A914" s="37" t="str">
        <f aca="false">IF(B914="","",ROW()-3)</f>
        <v/>
      </c>
      <c r="B914" s="38"/>
      <c r="C914" s="39"/>
      <c r="D914" s="39"/>
      <c r="E914" s="39"/>
      <c r="F914" s="39"/>
      <c r="G914" s="40"/>
      <c r="H914" s="39"/>
      <c r="I914" s="40" t="n">
        <f aca="false">IF(F914="",0,F914*G914)</f>
        <v>0</v>
      </c>
      <c r="J914" s="39"/>
      <c r="K914" s="39"/>
      <c r="L914" s="39"/>
      <c r="M914" s="39"/>
      <c r="N914" s="40" t="str">
        <f aca="false">IF(AND(M914&lt;&gt;"",F914&lt;&gt;""),F914*M914,"")</f>
        <v/>
      </c>
    </row>
    <row r="915" customFormat="false" ht="15" hidden="false" customHeight="false" outlineLevel="0" collapsed="false">
      <c r="A915" s="41" t="str">
        <f aca="false">IF(B915="","",ROW()-3)</f>
        <v/>
      </c>
      <c r="B915" s="42"/>
      <c r="C915" s="43"/>
      <c r="G915" s="44"/>
      <c r="H915" s="43"/>
      <c r="I915" s="44" t="n">
        <f aca="false">IF(F915="",0,F915*G915)</f>
        <v>0</v>
      </c>
      <c r="N915" s="44" t="str">
        <f aca="false">IF(AND(M915&lt;&gt;"",F915&lt;&gt;""),F915*M915,"")</f>
        <v/>
      </c>
    </row>
    <row r="916" customFormat="false" ht="15" hidden="false" customHeight="false" outlineLevel="0" collapsed="false">
      <c r="A916" s="37" t="str">
        <f aca="false">IF(B916="","",ROW()-3)</f>
        <v/>
      </c>
      <c r="B916" s="38"/>
      <c r="C916" s="39"/>
      <c r="D916" s="39"/>
      <c r="E916" s="39"/>
      <c r="F916" s="39"/>
      <c r="G916" s="40"/>
      <c r="H916" s="39"/>
      <c r="I916" s="40" t="n">
        <f aca="false">IF(F916="",0,F916*G916)</f>
        <v>0</v>
      </c>
      <c r="J916" s="39"/>
      <c r="K916" s="39"/>
      <c r="L916" s="39"/>
      <c r="M916" s="39"/>
      <c r="N916" s="40" t="str">
        <f aca="false">IF(AND(M916&lt;&gt;"",F916&lt;&gt;""),F916*M916,"")</f>
        <v/>
      </c>
    </row>
    <row r="917" customFormat="false" ht="15" hidden="false" customHeight="false" outlineLevel="0" collapsed="false">
      <c r="A917" s="41" t="str">
        <f aca="false">IF(B917="","",ROW()-3)</f>
        <v/>
      </c>
      <c r="B917" s="42"/>
      <c r="C917" s="43"/>
      <c r="G917" s="44"/>
      <c r="H917" s="43"/>
      <c r="I917" s="44" t="n">
        <f aca="false">IF(F917="",0,F917*G917)</f>
        <v>0</v>
      </c>
      <c r="N917" s="44" t="str">
        <f aca="false">IF(AND(M917&lt;&gt;"",F917&lt;&gt;""),F917*M917,"")</f>
        <v/>
      </c>
    </row>
    <row r="918" customFormat="false" ht="15" hidden="false" customHeight="false" outlineLevel="0" collapsed="false">
      <c r="A918" s="37" t="str">
        <f aca="false">IF(B918="","",ROW()-3)</f>
        <v/>
      </c>
      <c r="B918" s="38"/>
      <c r="C918" s="39"/>
      <c r="D918" s="39"/>
      <c r="E918" s="39"/>
      <c r="F918" s="39"/>
      <c r="G918" s="40"/>
      <c r="H918" s="39"/>
      <c r="I918" s="40" t="n">
        <f aca="false">IF(F918="",0,F918*G918)</f>
        <v>0</v>
      </c>
      <c r="J918" s="39"/>
      <c r="K918" s="39"/>
      <c r="L918" s="39"/>
      <c r="M918" s="39"/>
      <c r="N918" s="40" t="str">
        <f aca="false">IF(AND(M918&lt;&gt;"",F918&lt;&gt;""),F918*M918,"")</f>
        <v/>
      </c>
    </row>
    <row r="919" customFormat="false" ht="15" hidden="false" customHeight="false" outlineLevel="0" collapsed="false">
      <c r="A919" s="41" t="str">
        <f aca="false">IF(B919="","",ROW()-3)</f>
        <v/>
      </c>
      <c r="B919" s="42"/>
      <c r="C919" s="43"/>
      <c r="G919" s="44"/>
      <c r="H919" s="43"/>
      <c r="I919" s="44" t="n">
        <f aca="false">IF(F919="",0,F919*G919)</f>
        <v>0</v>
      </c>
      <c r="N919" s="44" t="str">
        <f aca="false">IF(AND(M919&lt;&gt;"",F919&lt;&gt;""),F919*M919,"")</f>
        <v/>
      </c>
    </row>
    <row r="920" customFormat="false" ht="15" hidden="false" customHeight="false" outlineLevel="0" collapsed="false">
      <c r="A920" s="37" t="str">
        <f aca="false">IF(B920="","",ROW()-3)</f>
        <v/>
      </c>
      <c r="B920" s="38"/>
      <c r="C920" s="39"/>
      <c r="D920" s="39"/>
      <c r="E920" s="39"/>
      <c r="F920" s="39"/>
      <c r="G920" s="40"/>
      <c r="H920" s="39"/>
      <c r="I920" s="40" t="n">
        <f aca="false">IF(F920="",0,F920*G920)</f>
        <v>0</v>
      </c>
      <c r="J920" s="39"/>
      <c r="K920" s="39"/>
      <c r="L920" s="39"/>
      <c r="M920" s="39"/>
      <c r="N920" s="40" t="str">
        <f aca="false">IF(AND(M920&lt;&gt;"",F920&lt;&gt;""),F920*M920,"")</f>
        <v/>
      </c>
    </row>
    <row r="921" customFormat="false" ht="15" hidden="false" customHeight="false" outlineLevel="0" collapsed="false">
      <c r="A921" s="41" t="str">
        <f aca="false">IF(B921="","",ROW()-3)</f>
        <v/>
      </c>
      <c r="B921" s="42"/>
      <c r="C921" s="43"/>
      <c r="G921" s="44"/>
      <c r="H921" s="43"/>
      <c r="I921" s="44" t="n">
        <f aca="false">IF(F921="",0,F921*G921)</f>
        <v>0</v>
      </c>
      <c r="N921" s="44" t="str">
        <f aca="false">IF(AND(M921&lt;&gt;"",F921&lt;&gt;""),F921*M921,"")</f>
        <v/>
      </c>
    </row>
    <row r="922" customFormat="false" ht="15" hidden="false" customHeight="false" outlineLevel="0" collapsed="false">
      <c r="A922" s="37" t="str">
        <f aca="false">IF(B922="","",ROW()-3)</f>
        <v/>
      </c>
      <c r="B922" s="38"/>
      <c r="C922" s="39"/>
      <c r="D922" s="39"/>
      <c r="E922" s="39"/>
      <c r="F922" s="39"/>
      <c r="G922" s="40"/>
      <c r="H922" s="39"/>
      <c r="I922" s="40" t="n">
        <f aca="false">IF(F922="",0,F922*G922)</f>
        <v>0</v>
      </c>
      <c r="J922" s="39"/>
      <c r="K922" s="39"/>
      <c r="L922" s="39"/>
      <c r="M922" s="39"/>
      <c r="N922" s="40" t="str">
        <f aca="false">IF(AND(M922&lt;&gt;"",F922&lt;&gt;""),F922*M922,"")</f>
        <v/>
      </c>
    </row>
    <row r="923" customFormat="false" ht="15" hidden="false" customHeight="false" outlineLevel="0" collapsed="false">
      <c r="A923" s="41" t="str">
        <f aca="false">IF(B923="","",ROW()-3)</f>
        <v/>
      </c>
      <c r="B923" s="42"/>
      <c r="C923" s="43"/>
      <c r="G923" s="44"/>
      <c r="H923" s="43"/>
      <c r="I923" s="44" t="n">
        <f aca="false">IF(F923="",0,F923*G923)</f>
        <v>0</v>
      </c>
      <c r="N923" s="44" t="str">
        <f aca="false">IF(AND(M923&lt;&gt;"",F923&lt;&gt;""),F923*M923,"")</f>
        <v/>
      </c>
    </row>
    <row r="924" customFormat="false" ht="15" hidden="false" customHeight="false" outlineLevel="0" collapsed="false">
      <c r="A924" s="37" t="str">
        <f aca="false">IF(B924="","",ROW()-3)</f>
        <v/>
      </c>
      <c r="B924" s="38"/>
      <c r="C924" s="39"/>
      <c r="D924" s="39"/>
      <c r="E924" s="39"/>
      <c r="F924" s="39"/>
      <c r="G924" s="40"/>
      <c r="H924" s="39"/>
      <c r="I924" s="40" t="n">
        <f aca="false">IF(F924="",0,F924*G924)</f>
        <v>0</v>
      </c>
      <c r="J924" s="39"/>
      <c r="K924" s="39"/>
      <c r="L924" s="39"/>
      <c r="M924" s="39"/>
      <c r="N924" s="40" t="str">
        <f aca="false">IF(AND(M924&lt;&gt;"",F924&lt;&gt;""),F924*M924,"")</f>
        <v/>
      </c>
    </row>
    <row r="925" customFormat="false" ht="15" hidden="false" customHeight="false" outlineLevel="0" collapsed="false">
      <c r="A925" s="41" t="str">
        <f aca="false">IF(B925="","",ROW()-3)</f>
        <v/>
      </c>
      <c r="B925" s="42"/>
      <c r="C925" s="43"/>
      <c r="G925" s="44"/>
      <c r="H925" s="43"/>
      <c r="I925" s="44" t="n">
        <f aca="false">IF(F925="",0,F925*G925)</f>
        <v>0</v>
      </c>
      <c r="N925" s="44" t="str">
        <f aca="false">IF(AND(M925&lt;&gt;"",F925&lt;&gt;""),F925*M925,"")</f>
        <v/>
      </c>
    </row>
    <row r="926" customFormat="false" ht="15" hidden="false" customHeight="false" outlineLevel="0" collapsed="false">
      <c r="A926" s="37" t="str">
        <f aca="false">IF(B926="","",ROW()-3)</f>
        <v/>
      </c>
      <c r="B926" s="38"/>
      <c r="C926" s="39"/>
      <c r="D926" s="39"/>
      <c r="E926" s="39"/>
      <c r="F926" s="39"/>
      <c r="G926" s="40"/>
      <c r="H926" s="39"/>
      <c r="I926" s="40" t="n">
        <f aca="false">IF(F926="",0,F926*G926)</f>
        <v>0</v>
      </c>
      <c r="J926" s="39"/>
      <c r="K926" s="39"/>
      <c r="L926" s="39"/>
      <c r="M926" s="39"/>
      <c r="N926" s="40" t="str">
        <f aca="false">IF(AND(M926&lt;&gt;"",F926&lt;&gt;""),F926*M926,"")</f>
        <v/>
      </c>
    </row>
    <row r="927" customFormat="false" ht="15" hidden="false" customHeight="false" outlineLevel="0" collapsed="false">
      <c r="A927" s="41" t="str">
        <f aca="false">IF(B927="","",ROW()-3)</f>
        <v/>
      </c>
      <c r="B927" s="42"/>
      <c r="C927" s="43"/>
      <c r="G927" s="44"/>
      <c r="H927" s="43"/>
      <c r="I927" s="44" t="n">
        <f aca="false">IF(F927="",0,F927*G927)</f>
        <v>0</v>
      </c>
      <c r="N927" s="44" t="str">
        <f aca="false">IF(AND(M927&lt;&gt;"",F927&lt;&gt;""),F927*M927,"")</f>
        <v/>
      </c>
    </row>
    <row r="928" customFormat="false" ht="15" hidden="false" customHeight="false" outlineLevel="0" collapsed="false">
      <c r="A928" s="37" t="str">
        <f aca="false">IF(B928="","",ROW()-3)</f>
        <v/>
      </c>
      <c r="B928" s="38"/>
      <c r="C928" s="39"/>
      <c r="D928" s="39"/>
      <c r="E928" s="39"/>
      <c r="F928" s="39"/>
      <c r="G928" s="40"/>
      <c r="H928" s="39"/>
      <c r="I928" s="40" t="n">
        <f aca="false">IF(F928="",0,F928*G928)</f>
        <v>0</v>
      </c>
      <c r="J928" s="39"/>
      <c r="K928" s="39"/>
      <c r="L928" s="39"/>
      <c r="M928" s="39"/>
      <c r="N928" s="40" t="str">
        <f aca="false">IF(AND(M928&lt;&gt;"",F928&lt;&gt;""),F928*M928,"")</f>
        <v/>
      </c>
    </row>
    <row r="929" customFormat="false" ht="15" hidden="false" customHeight="false" outlineLevel="0" collapsed="false">
      <c r="A929" s="41" t="str">
        <f aca="false">IF(B929="","",ROW()-3)</f>
        <v/>
      </c>
      <c r="B929" s="42"/>
      <c r="C929" s="43"/>
      <c r="G929" s="44"/>
      <c r="H929" s="43"/>
      <c r="I929" s="44" t="n">
        <f aca="false">IF(F929="",0,F929*G929)</f>
        <v>0</v>
      </c>
      <c r="N929" s="44" t="str">
        <f aca="false">IF(AND(M929&lt;&gt;"",F929&lt;&gt;""),F929*M929,"")</f>
        <v/>
      </c>
    </row>
    <row r="930" customFormat="false" ht="15" hidden="false" customHeight="false" outlineLevel="0" collapsed="false">
      <c r="A930" s="37" t="str">
        <f aca="false">IF(B930="","",ROW()-3)</f>
        <v/>
      </c>
      <c r="B930" s="38"/>
      <c r="C930" s="39"/>
      <c r="D930" s="39"/>
      <c r="E930" s="39"/>
      <c r="F930" s="39"/>
      <c r="G930" s="40"/>
      <c r="H930" s="39"/>
      <c r="I930" s="40" t="n">
        <f aca="false">IF(F930="",0,F930*G930)</f>
        <v>0</v>
      </c>
      <c r="J930" s="39"/>
      <c r="K930" s="39"/>
      <c r="L930" s="39"/>
      <c r="M930" s="39"/>
      <c r="N930" s="40" t="str">
        <f aca="false">IF(AND(M930&lt;&gt;"",F930&lt;&gt;""),F930*M930,"")</f>
        <v/>
      </c>
    </row>
    <row r="931" customFormat="false" ht="15" hidden="false" customHeight="false" outlineLevel="0" collapsed="false">
      <c r="A931" s="41" t="str">
        <f aca="false">IF(B931="","",ROW()-3)</f>
        <v/>
      </c>
      <c r="B931" s="42"/>
      <c r="C931" s="43"/>
      <c r="G931" s="44"/>
      <c r="H931" s="43"/>
      <c r="I931" s="44" t="n">
        <f aca="false">IF(F931="",0,F931*G931)</f>
        <v>0</v>
      </c>
      <c r="N931" s="44" t="str">
        <f aca="false">IF(AND(M931&lt;&gt;"",F931&lt;&gt;""),F931*M931,"")</f>
        <v/>
      </c>
    </row>
    <row r="932" customFormat="false" ht="15" hidden="false" customHeight="false" outlineLevel="0" collapsed="false">
      <c r="A932" s="37" t="str">
        <f aca="false">IF(B932="","",ROW()-3)</f>
        <v/>
      </c>
      <c r="B932" s="38"/>
      <c r="C932" s="39"/>
      <c r="D932" s="39"/>
      <c r="E932" s="39"/>
      <c r="F932" s="39"/>
      <c r="G932" s="40"/>
      <c r="H932" s="39"/>
      <c r="I932" s="40" t="n">
        <f aca="false">IF(F932="",0,F932*G932)</f>
        <v>0</v>
      </c>
      <c r="J932" s="39"/>
      <c r="K932" s="39"/>
      <c r="L932" s="39"/>
      <c r="M932" s="39"/>
      <c r="N932" s="40" t="str">
        <f aca="false">IF(AND(M932&lt;&gt;"",F932&lt;&gt;""),F932*M932,"")</f>
        <v/>
      </c>
    </row>
    <row r="933" customFormat="false" ht="15" hidden="false" customHeight="false" outlineLevel="0" collapsed="false">
      <c r="A933" s="41" t="str">
        <f aca="false">IF(B933="","",ROW()-3)</f>
        <v/>
      </c>
      <c r="B933" s="42"/>
      <c r="C933" s="43"/>
      <c r="G933" s="44"/>
      <c r="H933" s="43"/>
      <c r="I933" s="44" t="n">
        <f aca="false">IF(F933="",0,F933*G933)</f>
        <v>0</v>
      </c>
      <c r="N933" s="44" t="str">
        <f aca="false">IF(AND(M933&lt;&gt;"",F933&lt;&gt;""),F933*M933,"")</f>
        <v/>
      </c>
    </row>
    <row r="934" customFormat="false" ht="15" hidden="false" customHeight="false" outlineLevel="0" collapsed="false">
      <c r="A934" s="37" t="str">
        <f aca="false">IF(B934="","",ROW()-3)</f>
        <v/>
      </c>
      <c r="B934" s="38"/>
      <c r="C934" s="39"/>
      <c r="D934" s="39"/>
      <c r="E934" s="39"/>
      <c r="F934" s="39"/>
      <c r="G934" s="40"/>
      <c r="H934" s="39"/>
      <c r="I934" s="40" t="n">
        <f aca="false">IF(F934="",0,F934*G934)</f>
        <v>0</v>
      </c>
      <c r="J934" s="39"/>
      <c r="K934" s="39"/>
      <c r="L934" s="39"/>
      <c r="M934" s="39"/>
      <c r="N934" s="40" t="str">
        <f aca="false">IF(AND(M934&lt;&gt;"",F934&lt;&gt;""),F934*M934,"")</f>
        <v/>
      </c>
    </row>
    <row r="935" customFormat="false" ht="15" hidden="false" customHeight="false" outlineLevel="0" collapsed="false">
      <c r="A935" s="41" t="str">
        <f aca="false">IF(B935="","",ROW()-3)</f>
        <v/>
      </c>
      <c r="B935" s="42"/>
      <c r="C935" s="43"/>
      <c r="G935" s="44"/>
      <c r="H935" s="43"/>
      <c r="I935" s="44" t="n">
        <f aca="false">IF(F935="",0,F935*G935)</f>
        <v>0</v>
      </c>
      <c r="N935" s="44" t="str">
        <f aca="false">IF(AND(M935&lt;&gt;"",F935&lt;&gt;""),F935*M935,"")</f>
        <v/>
      </c>
    </row>
    <row r="936" customFormat="false" ht="15" hidden="false" customHeight="false" outlineLevel="0" collapsed="false">
      <c r="A936" s="37" t="str">
        <f aca="false">IF(B936="","",ROW()-3)</f>
        <v/>
      </c>
      <c r="B936" s="38"/>
      <c r="C936" s="39"/>
      <c r="D936" s="39"/>
      <c r="E936" s="39"/>
      <c r="F936" s="39"/>
      <c r="G936" s="40"/>
      <c r="H936" s="39"/>
      <c r="I936" s="40" t="n">
        <f aca="false">IF(F936="",0,F936*G936)</f>
        <v>0</v>
      </c>
      <c r="J936" s="39"/>
      <c r="K936" s="39"/>
      <c r="L936" s="39"/>
      <c r="M936" s="39"/>
      <c r="N936" s="40" t="str">
        <f aca="false">IF(AND(M936&lt;&gt;"",F936&lt;&gt;""),F936*M936,"")</f>
        <v/>
      </c>
    </row>
    <row r="937" customFormat="false" ht="15" hidden="false" customHeight="false" outlineLevel="0" collapsed="false">
      <c r="A937" s="41" t="str">
        <f aca="false">IF(B937="","",ROW()-3)</f>
        <v/>
      </c>
      <c r="B937" s="42"/>
      <c r="C937" s="43"/>
      <c r="G937" s="44"/>
      <c r="H937" s="43"/>
      <c r="I937" s="44" t="n">
        <f aca="false">IF(F937="",0,F937*G937)</f>
        <v>0</v>
      </c>
      <c r="N937" s="44" t="str">
        <f aca="false">IF(AND(M937&lt;&gt;"",F937&lt;&gt;""),F937*M937,"")</f>
        <v/>
      </c>
    </row>
    <row r="938" customFormat="false" ht="15" hidden="false" customHeight="false" outlineLevel="0" collapsed="false">
      <c r="A938" s="37" t="str">
        <f aca="false">IF(B938="","",ROW()-3)</f>
        <v/>
      </c>
      <c r="B938" s="38"/>
      <c r="C938" s="39"/>
      <c r="D938" s="39"/>
      <c r="E938" s="39"/>
      <c r="F938" s="39"/>
      <c r="G938" s="40"/>
      <c r="H938" s="39"/>
      <c r="I938" s="40" t="n">
        <f aca="false">IF(F938="",0,F938*G938)</f>
        <v>0</v>
      </c>
      <c r="J938" s="39"/>
      <c r="K938" s="39"/>
      <c r="L938" s="39"/>
      <c r="M938" s="39"/>
      <c r="N938" s="40" t="str">
        <f aca="false">IF(AND(M938&lt;&gt;"",F938&lt;&gt;""),F938*M938,"")</f>
        <v/>
      </c>
    </row>
    <row r="939" customFormat="false" ht="15" hidden="false" customHeight="false" outlineLevel="0" collapsed="false">
      <c r="A939" s="41" t="str">
        <f aca="false">IF(B939="","",ROW()-3)</f>
        <v/>
      </c>
      <c r="B939" s="42"/>
      <c r="C939" s="43"/>
      <c r="G939" s="44"/>
      <c r="H939" s="43"/>
      <c r="I939" s="44" t="n">
        <f aca="false">IF(F939="",0,F939*G939)</f>
        <v>0</v>
      </c>
      <c r="N939" s="44" t="str">
        <f aca="false">IF(AND(M939&lt;&gt;"",F939&lt;&gt;""),F939*M939,"")</f>
        <v/>
      </c>
    </row>
    <row r="940" customFormat="false" ht="15" hidden="false" customHeight="false" outlineLevel="0" collapsed="false">
      <c r="A940" s="37" t="str">
        <f aca="false">IF(B940="","",ROW()-3)</f>
        <v/>
      </c>
      <c r="B940" s="38"/>
      <c r="C940" s="39"/>
      <c r="D940" s="39"/>
      <c r="E940" s="39"/>
      <c r="F940" s="39"/>
      <c r="G940" s="40"/>
      <c r="H940" s="39"/>
      <c r="I940" s="40" t="n">
        <f aca="false">IF(F940="",0,F940*G940)</f>
        <v>0</v>
      </c>
      <c r="J940" s="39"/>
      <c r="K940" s="39"/>
      <c r="L940" s="39"/>
      <c r="M940" s="39"/>
      <c r="N940" s="40" t="str">
        <f aca="false">IF(AND(M940&lt;&gt;"",F940&lt;&gt;""),F940*M940,"")</f>
        <v/>
      </c>
    </row>
    <row r="941" customFormat="false" ht="15" hidden="false" customHeight="false" outlineLevel="0" collapsed="false">
      <c r="A941" s="41" t="str">
        <f aca="false">IF(B941="","",ROW()-3)</f>
        <v/>
      </c>
      <c r="B941" s="42"/>
      <c r="C941" s="43"/>
      <c r="G941" s="44"/>
      <c r="H941" s="43"/>
      <c r="I941" s="44" t="n">
        <f aca="false">IF(F941="",0,F941*G941)</f>
        <v>0</v>
      </c>
      <c r="N941" s="44" t="str">
        <f aca="false">IF(AND(M941&lt;&gt;"",F941&lt;&gt;""),F941*M941,"")</f>
        <v/>
      </c>
    </row>
    <row r="942" customFormat="false" ht="15" hidden="false" customHeight="false" outlineLevel="0" collapsed="false">
      <c r="A942" s="37" t="str">
        <f aca="false">IF(B942="","",ROW()-3)</f>
        <v/>
      </c>
      <c r="B942" s="38"/>
      <c r="C942" s="39"/>
      <c r="D942" s="39"/>
      <c r="E942" s="39"/>
      <c r="F942" s="39"/>
      <c r="G942" s="40"/>
      <c r="H942" s="39"/>
      <c r="I942" s="40" t="n">
        <f aca="false">IF(F942="",0,F942*G942)</f>
        <v>0</v>
      </c>
      <c r="J942" s="39"/>
      <c r="K942" s="39"/>
      <c r="L942" s="39"/>
      <c r="M942" s="39"/>
      <c r="N942" s="40" t="str">
        <f aca="false">IF(AND(M942&lt;&gt;"",F942&lt;&gt;""),F942*M942,"")</f>
        <v/>
      </c>
    </row>
    <row r="943" customFormat="false" ht="15" hidden="false" customHeight="false" outlineLevel="0" collapsed="false">
      <c r="A943" s="41" t="str">
        <f aca="false">IF(B943="","",ROW()-3)</f>
        <v/>
      </c>
      <c r="B943" s="42"/>
      <c r="C943" s="43"/>
      <c r="G943" s="44"/>
      <c r="H943" s="43"/>
      <c r="I943" s="44" t="n">
        <f aca="false">IF(F943="",0,F943*G943)</f>
        <v>0</v>
      </c>
      <c r="N943" s="44" t="str">
        <f aca="false">IF(AND(M943&lt;&gt;"",F943&lt;&gt;""),F943*M943,"")</f>
        <v/>
      </c>
    </row>
    <row r="944" customFormat="false" ht="15" hidden="false" customHeight="false" outlineLevel="0" collapsed="false">
      <c r="A944" s="37" t="str">
        <f aca="false">IF(B944="","",ROW()-3)</f>
        <v/>
      </c>
      <c r="B944" s="38"/>
      <c r="C944" s="39"/>
      <c r="D944" s="39"/>
      <c r="E944" s="39"/>
      <c r="F944" s="39"/>
      <c r="G944" s="40"/>
      <c r="H944" s="39"/>
      <c r="I944" s="40" t="n">
        <f aca="false">IF(F944="",0,F944*G944)</f>
        <v>0</v>
      </c>
      <c r="J944" s="39"/>
      <c r="K944" s="39"/>
      <c r="L944" s="39"/>
      <c r="M944" s="39"/>
      <c r="N944" s="40" t="str">
        <f aca="false">IF(AND(M944&lt;&gt;"",F944&lt;&gt;""),F944*M944,"")</f>
        <v/>
      </c>
    </row>
    <row r="945" customFormat="false" ht="15" hidden="false" customHeight="false" outlineLevel="0" collapsed="false">
      <c r="A945" s="41" t="str">
        <f aca="false">IF(B945="","",ROW()-3)</f>
        <v/>
      </c>
      <c r="B945" s="42"/>
      <c r="C945" s="43"/>
      <c r="G945" s="44"/>
      <c r="H945" s="43"/>
      <c r="I945" s="44" t="n">
        <f aca="false">IF(F945="",0,F945*G945)</f>
        <v>0</v>
      </c>
      <c r="N945" s="44" t="str">
        <f aca="false">IF(AND(M945&lt;&gt;"",F945&lt;&gt;""),F945*M945,"")</f>
        <v/>
      </c>
    </row>
    <row r="946" customFormat="false" ht="15" hidden="false" customHeight="false" outlineLevel="0" collapsed="false">
      <c r="A946" s="37" t="str">
        <f aca="false">IF(B946="","",ROW()-3)</f>
        <v/>
      </c>
      <c r="B946" s="38"/>
      <c r="C946" s="39"/>
      <c r="D946" s="39"/>
      <c r="E946" s="39"/>
      <c r="F946" s="39"/>
      <c r="G946" s="40"/>
      <c r="H946" s="39"/>
      <c r="I946" s="40" t="n">
        <f aca="false">IF(F946="",0,F946*G946)</f>
        <v>0</v>
      </c>
      <c r="J946" s="39"/>
      <c r="K946" s="39"/>
      <c r="L946" s="39"/>
      <c r="M946" s="39"/>
      <c r="N946" s="40" t="str">
        <f aca="false">IF(AND(M946&lt;&gt;"",F946&lt;&gt;""),F946*M946,"")</f>
        <v/>
      </c>
    </row>
    <row r="947" customFormat="false" ht="15" hidden="false" customHeight="false" outlineLevel="0" collapsed="false">
      <c r="A947" s="41" t="str">
        <f aca="false">IF(B947="","",ROW()-3)</f>
        <v/>
      </c>
      <c r="B947" s="42"/>
      <c r="C947" s="43"/>
      <c r="G947" s="44"/>
      <c r="H947" s="43"/>
      <c r="I947" s="44" t="n">
        <f aca="false">IF(F947="",0,F947*G947)</f>
        <v>0</v>
      </c>
      <c r="N947" s="44" t="str">
        <f aca="false">IF(AND(M947&lt;&gt;"",F947&lt;&gt;""),F947*M947,"")</f>
        <v/>
      </c>
    </row>
    <row r="948" customFormat="false" ht="15" hidden="false" customHeight="false" outlineLevel="0" collapsed="false">
      <c r="A948" s="37" t="str">
        <f aca="false">IF(B948="","",ROW()-3)</f>
        <v/>
      </c>
      <c r="B948" s="38"/>
      <c r="C948" s="39"/>
      <c r="D948" s="39"/>
      <c r="E948" s="39"/>
      <c r="F948" s="39"/>
      <c r="G948" s="40"/>
      <c r="H948" s="39"/>
      <c r="I948" s="40" t="n">
        <f aca="false">IF(F948="",0,F948*G948)</f>
        <v>0</v>
      </c>
      <c r="J948" s="39"/>
      <c r="K948" s="39"/>
      <c r="L948" s="39"/>
      <c r="M948" s="39"/>
      <c r="N948" s="40" t="str">
        <f aca="false">IF(AND(M948&lt;&gt;"",F948&lt;&gt;""),F948*M948,"")</f>
        <v/>
      </c>
    </row>
    <row r="949" customFormat="false" ht="15" hidden="false" customHeight="false" outlineLevel="0" collapsed="false">
      <c r="A949" s="41" t="str">
        <f aca="false">IF(B949="","",ROW()-3)</f>
        <v/>
      </c>
      <c r="B949" s="42"/>
      <c r="C949" s="43"/>
      <c r="G949" s="44"/>
      <c r="H949" s="43"/>
      <c r="I949" s="44" t="n">
        <f aca="false">IF(F949="",0,F949*G949)</f>
        <v>0</v>
      </c>
      <c r="N949" s="44" t="str">
        <f aca="false">IF(AND(M949&lt;&gt;"",F949&lt;&gt;""),F949*M949,"")</f>
        <v/>
      </c>
    </row>
    <row r="950" customFormat="false" ht="15" hidden="false" customHeight="false" outlineLevel="0" collapsed="false">
      <c r="A950" s="37" t="str">
        <f aca="false">IF(B950="","",ROW()-3)</f>
        <v/>
      </c>
      <c r="B950" s="38"/>
      <c r="C950" s="39"/>
      <c r="D950" s="39"/>
      <c r="E950" s="39"/>
      <c r="F950" s="39"/>
      <c r="G950" s="40"/>
      <c r="H950" s="39"/>
      <c r="I950" s="40" t="n">
        <f aca="false">IF(F950="",0,F950*G950)</f>
        <v>0</v>
      </c>
      <c r="J950" s="39"/>
      <c r="K950" s="39"/>
      <c r="L950" s="39"/>
      <c r="M950" s="39"/>
      <c r="N950" s="40" t="str">
        <f aca="false">IF(AND(M950&lt;&gt;"",F950&lt;&gt;""),F950*M950,"")</f>
        <v/>
      </c>
    </row>
    <row r="951" customFormat="false" ht="15" hidden="false" customHeight="false" outlineLevel="0" collapsed="false">
      <c r="A951" s="41" t="str">
        <f aca="false">IF(B951="","",ROW()-3)</f>
        <v/>
      </c>
      <c r="B951" s="42"/>
      <c r="C951" s="43"/>
      <c r="G951" s="44"/>
      <c r="H951" s="43"/>
      <c r="I951" s="44" t="n">
        <f aca="false">IF(F951="",0,F951*G951)</f>
        <v>0</v>
      </c>
      <c r="N951" s="44" t="str">
        <f aca="false">IF(AND(M951&lt;&gt;"",F951&lt;&gt;""),F951*M951,"")</f>
        <v/>
      </c>
    </row>
    <row r="952" customFormat="false" ht="15" hidden="false" customHeight="false" outlineLevel="0" collapsed="false">
      <c r="A952" s="37" t="str">
        <f aca="false">IF(B952="","",ROW()-3)</f>
        <v/>
      </c>
      <c r="B952" s="38"/>
      <c r="C952" s="39"/>
      <c r="D952" s="39"/>
      <c r="E952" s="39"/>
      <c r="F952" s="39"/>
      <c r="G952" s="40"/>
      <c r="H952" s="39"/>
      <c r="I952" s="40" t="n">
        <f aca="false">IF(F952="",0,F952*G952)</f>
        <v>0</v>
      </c>
      <c r="J952" s="39"/>
      <c r="K952" s="39"/>
      <c r="L952" s="39"/>
      <c r="M952" s="39"/>
      <c r="N952" s="40" t="str">
        <f aca="false">IF(AND(M952&lt;&gt;"",F952&lt;&gt;""),F952*M952,"")</f>
        <v/>
      </c>
    </row>
    <row r="953" customFormat="false" ht="15" hidden="false" customHeight="false" outlineLevel="0" collapsed="false">
      <c r="A953" s="41" t="str">
        <f aca="false">IF(B953="","",ROW()-3)</f>
        <v/>
      </c>
      <c r="B953" s="42"/>
      <c r="C953" s="43"/>
      <c r="G953" s="44"/>
      <c r="H953" s="43"/>
      <c r="I953" s="44" t="n">
        <f aca="false">IF(F953="",0,F953*G953)</f>
        <v>0</v>
      </c>
      <c r="N953" s="44" t="str">
        <f aca="false">IF(AND(M953&lt;&gt;"",F953&lt;&gt;""),F953*M953,"")</f>
        <v/>
      </c>
    </row>
    <row r="954" customFormat="false" ht="15" hidden="false" customHeight="false" outlineLevel="0" collapsed="false">
      <c r="A954" s="37" t="str">
        <f aca="false">IF(B954="","",ROW()-3)</f>
        <v/>
      </c>
      <c r="B954" s="38"/>
      <c r="C954" s="39"/>
      <c r="D954" s="39"/>
      <c r="E954" s="39"/>
      <c r="F954" s="39"/>
      <c r="G954" s="40"/>
      <c r="H954" s="39"/>
      <c r="I954" s="40" t="n">
        <f aca="false">IF(F954="",0,F954*G954)</f>
        <v>0</v>
      </c>
      <c r="J954" s="39"/>
      <c r="K954" s="39"/>
      <c r="L954" s="39"/>
      <c r="M954" s="39"/>
      <c r="N954" s="40" t="str">
        <f aca="false">IF(AND(M954&lt;&gt;"",F954&lt;&gt;""),F954*M954,"")</f>
        <v/>
      </c>
    </row>
    <row r="955" customFormat="false" ht="15" hidden="false" customHeight="false" outlineLevel="0" collapsed="false">
      <c r="A955" s="41" t="str">
        <f aca="false">IF(B955="","",ROW()-3)</f>
        <v/>
      </c>
      <c r="B955" s="42"/>
      <c r="C955" s="43"/>
      <c r="G955" s="44"/>
      <c r="H955" s="43"/>
      <c r="I955" s="44" t="n">
        <f aca="false">IF(F955="",0,F955*G955)</f>
        <v>0</v>
      </c>
      <c r="N955" s="44" t="str">
        <f aca="false">IF(AND(M955&lt;&gt;"",F955&lt;&gt;""),F955*M955,"")</f>
        <v/>
      </c>
    </row>
    <row r="956" customFormat="false" ht="15" hidden="false" customHeight="false" outlineLevel="0" collapsed="false">
      <c r="A956" s="37" t="str">
        <f aca="false">IF(B956="","",ROW()-3)</f>
        <v/>
      </c>
      <c r="B956" s="38"/>
      <c r="C956" s="39"/>
      <c r="D956" s="39"/>
      <c r="E956" s="39"/>
      <c r="F956" s="39"/>
      <c r="G956" s="40"/>
      <c r="H956" s="39"/>
      <c r="I956" s="40" t="n">
        <f aca="false">IF(F956="",0,F956*G956)</f>
        <v>0</v>
      </c>
      <c r="J956" s="39"/>
      <c r="K956" s="39"/>
      <c r="L956" s="39"/>
      <c r="M956" s="39"/>
      <c r="N956" s="40" t="str">
        <f aca="false">IF(AND(M956&lt;&gt;"",F956&lt;&gt;""),F956*M956,"")</f>
        <v/>
      </c>
    </row>
    <row r="957" customFormat="false" ht="15" hidden="false" customHeight="false" outlineLevel="0" collapsed="false">
      <c r="A957" s="41" t="str">
        <f aca="false">IF(B957="","",ROW()-3)</f>
        <v/>
      </c>
      <c r="B957" s="42"/>
      <c r="C957" s="43"/>
      <c r="G957" s="44"/>
      <c r="H957" s="43"/>
      <c r="I957" s="44" t="n">
        <f aca="false">IF(F957="",0,F957*G957)</f>
        <v>0</v>
      </c>
      <c r="N957" s="44" t="str">
        <f aca="false">IF(AND(M957&lt;&gt;"",F957&lt;&gt;""),F957*M957,"")</f>
        <v/>
      </c>
    </row>
    <row r="958" customFormat="false" ht="15" hidden="false" customHeight="false" outlineLevel="0" collapsed="false">
      <c r="A958" s="37" t="str">
        <f aca="false">IF(B958="","",ROW()-3)</f>
        <v/>
      </c>
      <c r="B958" s="38"/>
      <c r="C958" s="39"/>
      <c r="D958" s="39"/>
      <c r="E958" s="39"/>
      <c r="F958" s="39"/>
      <c r="G958" s="40"/>
      <c r="H958" s="39"/>
      <c r="I958" s="40" t="n">
        <f aca="false">IF(F958="",0,F958*G958)</f>
        <v>0</v>
      </c>
      <c r="J958" s="39"/>
      <c r="K958" s="39"/>
      <c r="L958" s="39"/>
      <c r="M958" s="39"/>
      <c r="N958" s="40" t="str">
        <f aca="false">IF(AND(M958&lt;&gt;"",F958&lt;&gt;""),F958*M958,"")</f>
        <v/>
      </c>
    </row>
    <row r="959" customFormat="false" ht="15" hidden="false" customHeight="false" outlineLevel="0" collapsed="false">
      <c r="A959" s="41" t="str">
        <f aca="false">IF(B959="","",ROW()-3)</f>
        <v/>
      </c>
      <c r="B959" s="42"/>
      <c r="C959" s="43"/>
      <c r="G959" s="44"/>
      <c r="H959" s="43"/>
      <c r="I959" s="44" t="n">
        <f aca="false">IF(F959="",0,F959*G959)</f>
        <v>0</v>
      </c>
      <c r="N959" s="44" t="str">
        <f aca="false">IF(AND(M959&lt;&gt;"",F959&lt;&gt;""),F959*M959,"")</f>
        <v/>
      </c>
    </row>
    <row r="960" customFormat="false" ht="15" hidden="false" customHeight="false" outlineLevel="0" collapsed="false">
      <c r="A960" s="37" t="str">
        <f aca="false">IF(B960="","",ROW()-3)</f>
        <v/>
      </c>
      <c r="B960" s="38"/>
      <c r="C960" s="39"/>
      <c r="D960" s="39"/>
      <c r="E960" s="39"/>
      <c r="F960" s="39"/>
      <c r="G960" s="40"/>
      <c r="H960" s="39"/>
      <c r="I960" s="40" t="n">
        <f aca="false">IF(F960="",0,F960*G960)</f>
        <v>0</v>
      </c>
      <c r="J960" s="39"/>
      <c r="K960" s="39"/>
      <c r="L960" s="39"/>
      <c r="M960" s="39"/>
      <c r="N960" s="40" t="str">
        <f aca="false">IF(AND(M960&lt;&gt;"",F960&lt;&gt;""),F960*M960,"")</f>
        <v/>
      </c>
    </row>
    <row r="961" customFormat="false" ht="15" hidden="false" customHeight="false" outlineLevel="0" collapsed="false">
      <c r="A961" s="41" t="str">
        <f aca="false">IF(B961="","",ROW()-3)</f>
        <v/>
      </c>
      <c r="B961" s="42"/>
      <c r="C961" s="43"/>
      <c r="G961" s="44"/>
      <c r="H961" s="43"/>
      <c r="I961" s="44" t="n">
        <f aca="false">IF(F961="",0,F961*G961)</f>
        <v>0</v>
      </c>
      <c r="N961" s="44" t="str">
        <f aca="false">IF(AND(M961&lt;&gt;"",F961&lt;&gt;""),F961*M961,"")</f>
        <v/>
      </c>
    </row>
    <row r="962" customFormat="false" ht="15" hidden="false" customHeight="false" outlineLevel="0" collapsed="false">
      <c r="A962" s="37" t="str">
        <f aca="false">IF(B962="","",ROW()-3)</f>
        <v/>
      </c>
      <c r="B962" s="38"/>
      <c r="C962" s="39"/>
      <c r="D962" s="39"/>
      <c r="E962" s="39"/>
      <c r="F962" s="39"/>
      <c r="G962" s="40"/>
      <c r="H962" s="39"/>
      <c r="I962" s="40" t="n">
        <f aca="false">IF(F962="",0,F962*G962)</f>
        <v>0</v>
      </c>
      <c r="J962" s="39"/>
      <c r="K962" s="39"/>
      <c r="L962" s="39"/>
      <c r="M962" s="39"/>
      <c r="N962" s="40" t="str">
        <f aca="false">IF(AND(M962&lt;&gt;"",F962&lt;&gt;""),F962*M962,"")</f>
        <v/>
      </c>
    </row>
    <row r="963" customFormat="false" ht="15" hidden="false" customHeight="false" outlineLevel="0" collapsed="false">
      <c r="A963" s="41" t="str">
        <f aca="false">IF(B963="","",ROW()-3)</f>
        <v/>
      </c>
      <c r="B963" s="42"/>
      <c r="C963" s="43"/>
      <c r="G963" s="44"/>
      <c r="H963" s="43"/>
      <c r="I963" s="44" t="n">
        <f aca="false">IF(F963="",0,F963*G963)</f>
        <v>0</v>
      </c>
      <c r="N963" s="44" t="str">
        <f aca="false">IF(AND(M963&lt;&gt;"",F963&lt;&gt;""),F963*M963,"")</f>
        <v/>
      </c>
    </row>
    <row r="964" customFormat="false" ht="15" hidden="false" customHeight="false" outlineLevel="0" collapsed="false">
      <c r="A964" s="37" t="str">
        <f aca="false">IF(B964="","",ROW()-3)</f>
        <v/>
      </c>
      <c r="B964" s="38"/>
      <c r="C964" s="39"/>
      <c r="D964" s="39"/>
      <c r="E964" s="39"/>
      <c r="F964" s="39"/>
      <c r="G964" s="40"/>
      <c r="H964" s="39"/>
      <c r="I964" s="40" t="n">
        <f aca="false">IF(F964="",0,F964*G964)</f>
        <v>0</v>
      </c>
      <c r="J964" s="39"/>
      <c r="K964" s="39"/>
      <c r="L964" s="39"/>
      <c r="M964" s="39"/>
      <c r="N964" s="40" t="str">
        <f aca="false">IF(AND(M964&lt;&gt;"",F964&lt;&gt;""),F964*M964,"")</f>
        <v/>
      </c>
    </row>
    <row r="965" customFormat="false" ht="15" hidden="false" customHeight="false" outlineLevel="0" collapsed="false">
      <c r="A965" s="41" t="str">
        <f aca="false">IF(B965="","",ROW()-3)</f>
        <v/>
      </c>
      <c r="B965" s="42"/>
      <c r="C965" s="43"/>
      <c r="G965" s="44"/>
      <c r="H965" s="43"/>
      <c r="I965" s="44" t="n">
        <f aca="false">IF(F965="",0,F965*G965)</f>
        <v>0</v>
      </c>
      <c r="N965" s="44" t="str">
        <f aca="false">IF(AND(M965&lt;&gt;"",F965&lt;&gt;""),F965*M965,"")</f>
        <v/>
      </c>
    </row>
    <row r="966" customFormat="false" ht="15" hidden="false" customHeight="false" outlineLevel="0" collapsed="false">
      <c r="A966" s="37" t="str">
        <f aca="false">IF(B966="","",ROW()-3)</f>
        <v/>
      </c>
      <c r="B966" s="38"/>
      <c r="C966" s="39"/>
      <c r="D966" s="39"/>
      <c r="E966" s="39"/>
      <c r="F966" s="39"/>
      <c r="G966" s="40"/>
      <c r="H966" s="39"/>
      <c r="I966" s="40" t="n">
        <f aca="false">IF(F966="",0,F966*G966)</f>
        <v>0</v>
      </c>
      <c r="J966" s="39"/>
      <c r="K966" s="39"/>
      <c r="L966" s="39"/>
      <c r="M966" s="39"/>
      <c r="N966" s="40" t="str">
        <f aca="false">IF(AND(M966&lt;&gt;"",F966&lt;&gt;""),F966*M966,"")</f>
        <v/>
      </c>
    </row>
    <row r="967" customFormat="false" ht="15" hidden="false" customHeight="false" outlineLevel="0" collapsed="false">
      <c r="A967" s="41" t="str">
        <f aca="false">IF(B967="","",ROW()-3)</f>
        <v/>
      </c>
      <c r="B967" s="42"/>
      <c r="C967" s="43"/>
      <c r="G967" s="44"/>
      <c r="H967" s="43"/>
      <c r="I967" s="44" t="n">
        <f aca="false">IF(F967="",0,F967*G967)</f>
        <v>0</v>
      </c>
      <c r="N967" s="44" t="str">
        <f aca="false">IF(AND(M967&lt;&gt;"",F967&lt;&gt;""),F967*M967,"")</f>
        <v/>
      </c>
    </row>
    <row r="968" customFormat="false" ht="15" hidden="false" customHeight="false" outlineLevel="0" collapsed="false">
      <c r="A968" s="37" t="str">
        <f aca="false">IF(B968="","",ROW()-3)</f>
        <v/>
      </c>
      <c r="B968" s="38"/>
      <c r="C968" s="39"/>
      <c r="D968" s="39"/>
      <c r="E968" s="39"/>
      <c r="F968" s="39"/>
      <c r="G968" s="40"/>
      <c r="H968" s="39"/>
      <c r="I968" s="40" t="n">
        <f aca="false">IF(F968="",0,F968*G968)</f>
        <v>0</v>
      </c>
      <c r="J968" s="39"/>
      <c r="K968" s="39"/>
      <c r="L968" s="39"/>
      <c r="M968" s="39"/>
      <c r="N968" s="40" t="str">
        <f aca="false">IF(AND(M968&lt;&gt;"",F968&lt;&gt;""),F968*M968,"")</f>
        <v/>
      </c>
    </row>
    <row r="969" customFormat="false" ht="15" hidden="false" customHeight="false" outlineLevel="0" collapsed="false">
      <c r="A969" s="41" t="str">
        <f aca="false">IF(B969="","",ROW()-3)</f>
        <v/>
      </c>
      <c r="B969" s="42"/>
      <c r="C969" s="43"/>
      <c r="G969" s="44"/>
      <c r="H969" s="43"/>
      <c r="I969" s="44" t="n">
        <f aca="false">IF(F969="",0,F969*G969)</f>
        <v>0</v>
      </c>
      <c r="N969" s="44" t="str">
        <f aca="false">IF(AND(M969&lt;&gt;"",F969&lt;&gt;""),F969*M969,"")</f>
        <v/>
      </c>
    </row>
    <row r="970" customFormat="false" ht="15" hidden="false" customHeight="false" outlineLevel="0" collapsed="false">
      <c r="A970" s="37" t="str">
        <f aca="false">IF(B970="","",ROW()-3)</f>
        <v/>
      </c>
      <c r="B970" s="38"/>
      <c r="C970" s="39"/>
      <c r="D970" s="39"/>
      <c r="E970" s="39"/>
      <c r="F970" s="39"/>
      <c r="G970" s="40"/>
      <c r="H970" s="39"/>
      <c r="I970" s="40" t="n">
        <f aca="false">IF(F970="",0,F970*G970)</f>
        <v>0</v>
      </c>
      <c r="J970" s="39"/>
      <c r="K970" s="39"/>
      <c r="L970" s="39"/>
      <c r="M970" s="39"/>
      <c r="N970" s="40" t="str">
        <f aca="false">IF(AND(M970&lt;&gt;"",F970&lt;&gt;""),F970*M970,"")</f>
        <v/>
      </c>
    </row>
    <row r="971" customFormat="false" ht="15" hidden="false" customHeight="false" outlineLevel="0" collapsed="false">
      <c r="A971" s="41" t="str">
        <f aca="false">IF(B971="","",ROW()-3)</f>
        <v/>
      </c>
      <c r="B971" s="42"/>
      <c r="C971" s="43"/>
      <c r="G971" s="44"/>
      <c r="H971" s="43"/>
      <c r="I971" s="44" t="n">
        <f aca="false">IF(F971="",0,F971*G971)</f>
        <v>0</v>
      </c>
      <c r="N971" s="44" t="str">
        <f aca="false">IF(AND(M971&lt;&gt;"",F971&lt;&gt;""),F971*M971,"")</f>
        <v/>
      </c>
    </row>
    <row r="972" customFormat="false" ht="15" hidden="false" customHeight="false" outlineLevel="0" collapsed="false">
      <c r="A972" s="37" t="str">
        <f aca="false">IF(B972="","",ROW()-3)</f>
        <v/>
      </c>
      <c r="B972" s="38"/>
      <c r="C972" s="39"/>
      <c r="D972" s="39"/>
      <c r="E972" s="39"/>
      <c r="F972" s="39"/>
      <c r="G972" s="40"/>
      <c r="H972" s="39"/>
      <c r="I972" s="40" t="n">
        <f aca="false">IF(F972="",0,F972*G972)</f>
        <v>0</v>
      </c>
      <c r="J972" s="39"/>
      <c r="K972" s="39"/>
      <c r="L972" s="39"/>
      <c r="M972" s="39"/>
      <c r="N972" s="40" t="str">
        <f aca="false">IF(AND(M972&lt;&gt;"",F972&lt;&gt;""),F972*M972,"")</f>
        <v/>
      </c>
    </row>
    <row r="973" customFormat="false" ht="15" hidden="false" customHeight="false" outlineLevel="0" collapsed="false">
      <c r="A973" s="41" t="str">
        <f aca="false">IF(B973="","",ROW()-3)</f>
        <v/>
      </c>
      <c r="B973" s="42"/>
      <c r="C973" s="43"/>
      <c r="G973" s="44"/>
      <c r="H973" s="43"/>
      <c r="I973" s="44" t="n">
        <f aca="false">IF(F973="",0,F973*G973)</f>
        <v>0</v>
      </c>
      <c r="N973" s="44" t="str">
        <f aca="false">IF(AND(M973&lt;&gt;"",F973&lt;&gt;""),F973*M973,"")</f>
        <v/>
      </c>
    </row>
    <row r="974" customFormat="false" ht="15" hidden="false" customHeight="false" outlineLevel="0" collapsed="false">
      <c r="A974" s="37" t="str">
        <f aca="false">IF(B974="","",ROW()-3)</f>
        <v/>
      </c>
      <c r="B974" s="38"/>
      <c r="C974" s="39"/>
      <c r="D974" s="39"/>
      <c r="E974" s="39"/>
      <c r="F974" s="39"/>
      <c r="G974" s="40"/>
      <c r="H974" s="39"/>
      <c r="I974" s="40" t="n">
        <f aca="false">IF(F974="",0,F974*G974)</f>
        <v>0</v>
      </c>
      <c r="J974" s="39"/>
      <c r="K974" s="39"/>
      <c r="L974" s="39"/>
      <c r="M974" s="39"/>
      <c r="N974" s="40" t="str">
        <f aca="false">IF(AND(M974&lt;&gt;"",F974&lt;&gt;""),F974*M974,"")</f>
        <v/>
      </c>
    </row>
    <row r="975" customFormat="false" ht="15" hidden="false" customHeight="false" outlineLevel="0" collapsed="false">
      <c r="A975" s="41" t="str">
        <f aca="false">IF(B975="","",ROW()-3)</f>
        <v/>
      </c>
      <c r="B975" s="42"/>
      <c r="C975" s="43"/>
      <c r="G975" s="44"/>
      <c r="H975" s="43"/>
      <c r="I975" s="44" t="n">
        <f aca="false">IF(F975="",0,F975*G975)</f>
        <v>0</v>
      </c>
      <c r="N975" s="44" t="str">
        <f aca="false">IF(AND(M975&lt;&gt;"",F975&lt;&gt;""),F975*M975,"")</f>
        <v/>
      </c>
    </row>
    <row r="976" customFormat="false" ht="15" hidden="false" customHeight="false" outlineLevel="0" collapsed="false">
      <c r="A976" s="37" t="str">
        <f aca="false">IF(B976="","",ROW()-3)</f>
        <v/>
      </c>
      <c r="B976" s="38"/>
      <c r="C976" s="39"/>
      <c r="D976" s="39"/>
      <c r="E976" s="39"/>
      <c r="F976" s="39"/>
      <c r="G976" s="40"/>
      <c r="H976" s="39"/>
      <c r="I976" s="40" t="n">
        <f aca="false">IF(F976="",0,F976*G976)</f>
        <v>0</v>
      </c>
      <c r="J976" s="39"/>
      <c r="K976" s="39"/>
      <c r="L976" s="39"/>
      <c r="M976" s="39"/>
      <c r="N976" s="40" t="str">
        <f aca="false">IF(AND(M976&lt;&gt;"",F976&lt;&gt;""),F976*M976,"")</f>
        <v/>
      </c>
    </row>
    <row r="977" customFormat="false" ht="15" hidden="false" customHeight="false" outlineLevel="0" collapsed="false">
      <c r="A977" s="41" t="str">
        <f aca="false">IF(B977="","",ROW()-3)</f>
        <v/>
      </c>
      <c r="B977" s="42"/>
      <c r="C977" s="43"/>
      <c r="G977" s="44"/>
      <c r="H977" s="43"/>
      <c r="I977" s="44" t="n">
        <f aca="false">IF(F977="",0,F977*G977)</f>
        <v>0</v>
      </c>
      <c r="N977" s="44" t="str">
        <f aca="false">IF(AND(M977&lt;&gt;"",F977&lt;&gt;""),F977*M977,"")</f>
        <v/>
      </c>
    </row>
    <row r="978" customFormat="false" ht="15" hidden="false" customHeight="false" outlineLevel="0" collapsed="false">
      <c r="A978" s="37" t="str">
        <f aca="false">IF(B978="","",ROW()-3)</f>
        <v/>
      </c>
      <c r="B978" s="38"/>
      <c r="C978" s="39"/>
      <c r="D978" s="39"/>
      <c r="E978" s="39"/>
      <c r="F978" s="39"/>
      <c r="G978" s="40"/>
      <c r="H978" s="39"/>
      <c r="I978" s="40" t="n">
        <f aca="false">IF(F978="",0,F978*G978)</f>
        <v>0</v>
      </c>
      <c r="J978" s="39"/>
      <c r="K978" s="39"/>
      <c r="L978" s="39"/>
      <c r="M978" s="39"/>
      <c r="N978" s="40" t="str">
        <f aca="false">IF(AND(M978&lt;&gt;"",F978&lt;&gt;""),F978*M978,"")</f>
        <v/>
      </c>
    </row>
    <row r="979" customFormat="false" ht="15" hidden="false" customHeight="false" outlineLevel="0" collapsed="false">
      <c r="A979" s="41" t="str">
        <f aca="false">IF(B979="","",ROW()-3)</f>
        <v/>
      </c>
      <c r="B979" s="42"/>
      <c r="C979" s="43"/>
      <c r="G979" s="44"/>
      <c r="H979" s="43"/>
      <c r="I979" s="44" t="n">
        <f aca="false">IF(F979="",0,F979*G979)</f>
        <v>0</v>
      </c>
      <c r="N979" s="44" t="str">
        <f aca="false">IF(AND(M979&lt;&gt;"",F979&lt;&gt;""),F979*M979,"")</f>
        <v/>
      </c>
    </row>
    <row r="980" customFormat="false" ht="15" hidden="false" customHeight="false" outlineLevel="0" collapsed="false">
      <c r="A980" s="37" t="str">
        <f aca="false">IF(B980="","",ROW()-3)</f>
        <v/>
      </c>
      <c r="B980" s="38"/>
      <c r="C980" s="39"/>
      <c r="D980" s="39"/>
      <c r="E980" s="39"/>
      <c r="F980" s="39"/>
      <c r="G980" s="40"/>
      <c r="H980" s="39"/>
      <c r="I980" s="40" t="n">
        <f aca="false">IF(F980="",0,F980*G980)</f>
        <v>0</v>
      </c>
      <c r="J980" s="39"/>
      <c r="K980" s="39"/>
      <c r="L980" s="39"/>
      <c r="M980" s="39"/>
      <c r="N980" s="40" t="str">
        <f aca="false">IF(AND(M980&lt;&gt;"",F980&lt;&gt;""),F980*M980,"")</f>
        <v/>
      </c>
    </row>
    <row r="981" customFormat="false" ht="15" hidden="false" customHeight="false" outlineLevel="0" collapsed="false">
      <c r="A981" s="41" t="str">
        <f aca="false">IF(B981="","",ROW()-3)</f>
        <v/>
      </c>
      <c r="B981" s="42"/>
      <c r="C981" s="43"/>
      <c r="G981" s="44"/>
      <c r="H981" s="43"/>
      <c r="I981" s="44" t="n">
        <f aca="false">IF(F981="",0,F981*G981)</f>
        <v>0</v>
      </c>
      <c r="N981" s="44" t="str">
        <f aca="false">IF(AND(M981&lt;&gt;"",F981&lt;&gt;""),F981*M981,"")</f>
        <v/>
      </c>
    </row>
    <row r="982" customFormat="false" ht="15" hidden="false" customHeight="false" outlineLevel="0" collapsed="false">
      <c r="A982" s="37" t="str">
        <f aca="false">IF(B982="","",ROW()-3)</f>
        <v/>
      </c>
      <c r="B982" s="38"/>
      <c r="C982" s="39"/>
      <c r="D982" s="39"/>
      <c r="E982" s="39"/>
      <c r="F982" s="39"/>
      <c r="G982" s="40"/>
      <c r="H982" s="39"/>
      <c r="I982" s="40" t="n">
        <f aca="false">IF(F982="",0,F982*G982)</f>
        <v>0</v>
      </c>
      <c r="J982" s="39"/>
      <c r="K982" s="39"/>
      <c r="L982" s="39"/>
      <c r="M982" s="39"/>
      <c r="N982" s="40" t="str">
        <f aca="false">IF(AND(M982&lt;&gt;"",F982&lt;&gt;""),F982*M982,"")</f>
        <v/>
      </c>
    </row>
    <row r="983" customFormat="false" ht="15" hidden="false" customHeight="false" outlineLevel="0" collapsed="false">
      <c r="A983" s="41" t="str">
        <f aca="false">IF(B983="","",ROW()-3)</f>
        <v/>
      </c>
      <c r="B983" s="42"/>
      <c r="C983" s="43"/>
      <c r="G983" s="44"/>
      <c r="H983" s="43"/>
      <c r="I983" s="44" t="n">
        <f aca="false">IF(F983="",0,F983*G983)</f>
        <v>0</v>
      </c>
      <c r="N983" s="44" t="str">
        <f aca="false">IF(AND(M983&lt;&gt;"",F983&lt;&gt;""),F983*M983,"")</f>
        <v/>
      </c>
    </row>
    <row r="984" customFormat="false" ht="15" hidden="false" customHeight="false" outlineLevel="0" collapsed="false">
      <c r="A984" s="37" t="str">
        <f aca="false">IF(B984="","",ROW()-3)</f>
        <v/>
      </c>
      <c r="B984" s="38"/>
      <c r="C984" s="39"/>
      <c r="D984" s="39"/>
      <c r="E984" s="39"/>
      <c r="F984" s="39"/>
      <c r="G984" s="40"/>
      <c r="H984" s="39"/>
      <c r="I984" s="40" t="n">
        <f aca="false">IF(F984="",0,F984*G984)</f>
        <v>0</v>
      </c>
      <c r="J984" s="39"/>
      <c r="K984" s="39"/>
      <c r="L984" s="39"/>
      <c r="M984" s="39"/>
      <c r="N984" s="40" t="str">
        <f aca="false">IF(AND(M984&lt;&gt;"",F984&lt;&gt;""),F984*M984,"")</f>
        <v/>
      </c>
    </row>
    <row r="985" customFormat="false" ht="15" hidden="false" customHeight="false" outlineLevel="0" collapsed="false">
      <c r="A985" s="41" t="str">
        <f aca="false">IF(B985="","",ROW()-3)</f>
        <v/>
      </c>
      <c r="B985" s="42"/>
      <c r="C985" s="43"/>
      <c r="G985" s="44"/>
      <c r="H985" s="43"/>
      <c r="I985" s="44" t="n">
        <f aca="false">IF(F985="",0,F985*G985)</f>
        <v>0</v>
      </c>
      <c r="N985" s="44" t="str">
        <f aca="false">IF(AND(M985&lt;&gt;"",F985&lt;&gt;""),F985*M985,"")</f>
        <v/>
      </c>
    </row>
    <row r="986" customFormat="false" ht="15" hidden="false" customHeight="false" outlineLevel="0" collapsed="false">
      <c r="A986" s="37" t="str">
        <f aca="false">IF(B986="","",ROW()-3)</f>
        <v/>
      </c>
      <c r="B986" s="38"/>
      <c r="C986" s="39"/>
      <c r="D986" s="39"/>
      <c r="E986" s="39"/>
      <c r="F986" s="39"/>
      <c r="G986" s="40"/>
      <c r="H986" s="39"/>
      <c r="I986" s="40" t="n">
        <f aca="false">IF(F986="",0,F986*G986)</f>
        <v>0</v>
      </c>
      <c r="J986" s="39"/>
      <c r="K986" s="39"/>
      <c r="L986" s="39"/>
      <c r="M986" s="39"/>
      <c r="N986" s="40" t="str">
        <f aca="false">IF(AND(M986&lt;&gt;"",F986&lt;&gt;""),F986*M986,"")</f>
        <v/>
      </c>
    </row>
    <row r="987" customFormat="false" ht="15" hidden="false" customHeight="false" outlineLevel="0" collapsed="false">
      <c r="A987" s="41" t="str">
        <f aca="false">IF(B987="","",ROW()-3)</f>
        <v/>
      </c>
      <c r="B987" s="42"/>
      <c r="C987" s="43"/>
      <c r="G987" s="44"/>
      <c r="H987" s="43"/>
      <c r="I987" s="44" t="n">
        <f aca="false">IF(F987="",0,F987*G987)</f>
        <v>0</v>
      </c>
      <c r="N987" s="44" t="str">
        <f aca="false">IF(AND(M987&lt;&gt;"",F987&lt;&gt;""),F987*M987,"")</f>
        <v/>
      </c>
    </row>
    <row r="988" customFormat="false" ht="15" hidden="false" customHeight="false" outlineLevel="0" collapsed="false">
      <c r="A988" s="37" t="str">
        <f aca="false">IF(B988="","",ROW()-3)</f>
        <v/>
      </c>
      <c r="B988" s="38"/>
      <c r="C988" s="39"/>
      <c r="D988" s="39"/>
      <c r="E988" s="39"/>
      <c r="F988" s="39"/>
      <c r="G988" s="40"/>
      <c r="H988" s="39"/>
      <c r="I988" s="40" t="n">
        <f aca="false">IF(F988="",0,F988*G988)</f>
        <v>0</v>
      </c>
      <c r="J988" s="39"/>
      <c r="K988" s="39"/>
      <c r="L988" s="39"/>
      <c r="M988" s="39"/>
      <c r="N988" s="40" t="str">
        <f aca="false">IF(AND(M988&lt;&gt;"",F988&lt;&gt;""),F988*M988,"")</f>
        <v/>
      </c>
    </row>
    <row r="989" customFormat="false" ht="15" hidden="false" customHeight="false" outlineLevel="0" collapsed="false">
      <c r="A989" s="41" t="str">
        <f aca="false">IF(B989="","",ROW()-3)</f>
        <v/>
      </c>
      <c r="B989" s="42"/>
      <c r="C989" s="43"/>
      <c r="G989" s="44"/>
      <c r="H989" s="43"/>
      <c r="I989" s="44" t="n">
        <f aca="false">IF(F989="",0,F989*G989)</f>
        <v>0</v>
      </c>
      <c r="N989" s="44" t="str">
        <f aca="false">IF(AND(M989&lt;&gt;"",F989&lt;&gt;""),F989*M989,"")</f>
        <v/>
      </c>
    </row>
    <row r="990" customFormat="false" ht="15" hidden="false" customHeight="false" outlineLevel="0" collapsed="false">
      <c r="A990" s="37" t="str">
        <f aca="false">IF(B990="","",ROW()-3)</f>
        <v/>
      </c>
      <c r="B990" s="38"/>
      <c r="C990" s="39"/>
      <c r="D990" s="39"/>
      <c r="E990" s="39"/>
      <c r="F990" s="39"/>
      <c r="G990" s="40"/>
      <c r="H990" s="39"/>
      <c r="I990" s="40" t="n">
        <f aca="false">IF(F990="",0,F990*G990)</f>
        <v>0</v>
      </c>
      <c r="J990" s="39"/>
      <c r="K990" s="39"/>
      <c r="L990" s="39"/>
      <c r="M990" s="39"/>
      <c r="N990" s="40" t="str">
        <f aca="false">IF(AND(M990&lt;&gt;"",F990&lt;&gt;""),F990*M990,"")</f>
        <v/>
      </c>
    </row>
    <row r="991" customFormat="false" ht="15" hidden="false" customHeight="false" outlineLevel="0" collapsed="false">
      <c r="A991" s="41" t="str">
        <f aca="false">IF(B991="","",ROW()-3)</f>
        <v/>
      </c>
      <c r="B991" s="42"/>
      <c r="C991" s="43"/>
      <c r="G991" s="44"/>
      <c r="H991" s="43"/>
      <c r="I991" s="44" t="n">
        <f aca="false">IF(F991="",0,F991*G991)</f>
        <v>0</v>
      </c>
      <c r="N991" s="44" t="str">
        <f aca="false">IF(AND(M991&lt;&gt;"",F991&lt;&gt;""),F991*M991,"")</f>
        <v/>
      </c>
    </row>
    <row r="992" customFormat="false" ht="15" hidden="false" customHeight="false" outlineLevel="0" collapsed="false">
      <c r="A992" s="37" t="str">
        <f aca="false">IF(B992="","",ROW()-3)</f>
        <v/>
      </c>
      <c r="B992" s="38"/>
      <c r="C992" s="39"/>
      <c r="D992" s="39"/>
      <c r="E992" s="39"/>
      <c r="F992" s="39"/>
      <c r="G992" s="40"/>
      <c r="H992" s="39"/>
      <c r="I992" s="40" t="n">
        <f aca="false">IF(F992="",0,F992*G992)</f>
        <v>0</v>
      </c>
      <c r="J992" s="39"/>
      <c r="K992" s="39"/>
      <c r="L992" s="39"/>
      <c r="M992" s="39"/>
      <c r="N992" s="40" t="str">
        <f aca="false">IF(AND(M992&lt;&gt;"",F992&lt;&gt;""),F992*M992,"")</f>
        <v/>
      </c>
    </row>
    <row r="993" customFormat="false" ht="15" hidden="false" customHeight="false" outlineLevel="0" collapsed="false">
      <c r="A993" s="41" t="str">
        <f aca="false">IF(B993="","",ROW()-3)</f>
        <v/>
      </c>
      <c r="B993" s="42"/>
      <c r="C993" s="43"/>
      <c r="G993" s="44"/>
      <c r="H993" s="43"/>
      <c r="I993" s="44" t="n">
        <f aca="false">IF(F993="",0,F993*G993)</f>
        <v>0</v>
      </c>
      <c r="N993" s="44" t="str">
        <f aca="false">IF(AND(M993&lt;&gt;"",F993&lt;&gt;""),F993*M993,"")</f>
        <v/>
      </c>
    </row>
    <row r="994" customFormat="false" ht="15" hidden="false" customHeight="false" outlineLevel="0" collapsed="false">
      <c r="A994" s="37" t="str">
        <f aca="false">IF(B994="","",ROW()-3)</f>
        <v/>
      </c>
      <c r="B994" s="38"/>
      <c r="C994" s="39"/>
      <c r="D994" s="39"/>
      <c r="E994" s="39"/>
      <c r="F994" s="39"/>
      <c r="G994" s="40"/>
      <c r="H994" s="39"/>
      <c r="I994" s="40" t="n">
        <f aca="false">IF(F994="",0,F994*G994)</f>
        <v>0</v>
      </c>
      <c r="J994" s="39"/>
      <c r="K994" s="39"/>
      <c r="L994" s="39"/>
      <c r="M994" s="39"/>
      <c r="N994" s="40" t="str">
        <f aca="false">IF(AND(M994&lt;&gt;"",F994&lt;&gt;""),F994*M994,"")</f>
        <v/>
      </c>
    </row>
    <row r="995" customFormat="false" ht="15" hidden="false" customHeight="false" outlineLevel="0" collapsed="false">
      <c r="A995" s="41" t="str">
        <f aca="false">IF(B995="","",ROW()-3)</f>
        <v/>
      </c>
      <c r="B995" s="42"/>
      <c r="C995" s="43"/>
      <c r="G995" s="44"/>
      <c r="H995" s="43"/>
      <c r="I995" s="44" t="n">
        <f aca="false">IF(F995="",0,F995*G995)</f>
        <v>0</v>
      </c>
      <c r="N995" s="44" t="str">
        <f aca="false">IF(AND(M995&lt;&gt;"",F995&lt;&gt;""),F995*M995,"")</f>
        <v/>
      </c>
    </row>
    <row r="996" customFormat="false" ht="15" hidden="false" customHeight="false" outlineLevel="0" collapsed="false">
      <c r="A996" s="37" t="str">
        <f aca="false">IF(B996="","",ROW()-3)</f>
        <v/>
      </c>
      <c r="B996" s="38"/>
      <c r="C996" s="39"/>
      <c r="D996" s="39"/>
      <c r="E996" s="39"/>
      <c r="F996" s="39"/>
      <c r="G996" s="40"/>
      <c r="H996" s="39"/>
      <c r="I996" s="40" t="n">
        <f aca="false">IF(F996="",0,F996*G996)</f>
        <v>0</v>
      </c>
      <c r="J996" s="39"/>
      <c r="K996" s="39"/>
      <c r="L996" s="39"/>
      <c r="M996" s="39"/>
      <c r="N996" s="40" t="str">
        <f aca="false">IF(AND(M996&lt;&gt;"",F996&lt;&gt;""),F996*M996,"")</f>
        <v/>
      </c>
    </row>
    <row r="997" customFormat="false" ht="15" hidden="false" customHeight="false" outlineLevel="0" collapsed="false">
      <c r="A997" s="41" t="str">
        <f aca="false">IF(B997="","",ROW()-3)</f>
        <v/>
      </c>
      <c r="B997" s="42"/>
      <c r="C997" s="43"/>
      <c r="G997" s="44"/>
      <c r="H997" s="43"/>
      <c r="I997" s="44" t="n">
        <f aca="false">IF(F997="",0,F997*G997)</f>
        <v>0</v>
      </c>
      <c r="N997" s="44" t="str">
        <f aca="false">IF(AND(M997&lt;&gt;"",F997&lt;&gt;""),F997*M997,"")</f>
        <v/>
      </c>
    </row>
    <row r="998" customFormat="false" ht="15" hidden="false" customHeight="false" outlineLevel="0" collapsed="false">
      <c r="A998" s="37" t="str">
        <f aca="false">IF(B998="","",ROW()-3)</f>
        <v/>
      </c>
      <c r="B998" s="38"/>
      <c r="C998" s="39"/>
      <c r="D998" s="39"/>
      <c r="E998" s="39"/>
      <c r="F998" s="39"/>
      <c r="G998" s="40"/>
      <c r="H998" s="39"/>
      <c r="I998" s="40" t="n">
        <f aca="false">IF(F998="",0,F998*G998)</f>
        <v>0</v>
      </c>
      <c r="J998" s="39"/>
      <c r="K998" s="39"/>
      <c r="L998" s="39"/>
      <c r="M998" s="39"/>
      <c r="N998" s="40" t="str">
        <f aca="false">IF(AND(M998&lt;&gt;"",F998&lt;&gt;""),F998*M998,"")</f>
        <v/>
      </c>
    </row>
    <row r="999" customFormat="false" ht="15" hidden="false" customHeight="false" outlineLevel="0" collapsed="false">
      <c r="A999" s="41" t="str">
        <f aca="false">IF(B999="","",ROW()-3)</f>
        <v/>
      </c>
      <c r="B999" s="42"/>
      <c r="C999" s="43"/>
      <c r="G999" s="44"/>
      <c r="H999" s="43"/>
      <c r="I999" s="44" t="n">
        <f aca="false">IF(F999="",0,F999*G999)</f>
        <v>0</v>
      </c>
      <c r="N999" s="44" t="str">
        <f aca="false">IF(AND(M999&lt;&gt;"",F999&lt;&gt;""),F999*M999,"")</f>
        <v/>
      </c>
    </row>
    <row r="1000" customFormat="false" ht="15" hidden="false" customHeight="false" outlineLevel="0" collapsed="false">
      <c r="A1000" s="37" t="str">
        <f aca="false">IF(B1000="","",ROW()-3)</f>
        <v/>
      </c>
      <c r="B1000" s="38"/>
      <c r="C1000" s="39"/>
      <c r="D1000" s="39"/>
      <c r="E1000" s="39"/>
      <c r="F1000" s="39"/>
      <c r="G1000" s="40"/>
      <c r="H1000" s="39"/>
      <c r="I1000" s="40" t="n">
        <f aca="false">IF(F1000="",0,F1000*G1000)</f>
        <v>0</v>
      </c>
      <c r="J1000" s="39"/>
      <c r="K1000" s="39"/>
      <c r="L1000" s="39"/>
      <c r="M1000" s="39"/>
      <c r="N1000" s="40" t="str">
        <f aca="false">IF(AND(M1000&lt;&gt;"",F1000&lt;&gt;""),F1000*M1000,"")</f>
        <v/>
      </c>
    </row>
  </sheetData>
  <autoFilter ref="A3:N3"/>
  <mergeCells count="1">
    <mergeCell ref="A1:F1"/>
  </mergeCells>
  <dataValidations count="2">
    <dataValidation allowBlank="true" error="Select a valid category" errorStyle="stop" operator="between" showDropDown="false" showErrorMessage="false" showInputMessage="false" sqref="C4:C1000" type="list">
      <formula1>"Sealed Product,Single Card,Graded Card,Supplies,Shipping Materials,Grading Fees,Other Expense"</formula1>
      <formula2>0</formula2>
    </dataValidation>
    <dataValidation allowBlank="true" errorStyle="stop" operator="between" showDropDown="false" showErrorMessage="false" showInputMessage="false" sqref="H4:H1000" type="list">
      <formula1>"In Stock,Listed,Sold,Opened,Graded,Used,Returned"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6" min="15" style="0" width="14"/>
    <col collapsed="false" customWidth="true" hidden="false" outlineLevel="0" max="17" min="17" style="0" width="16"/>
    <col collapsed="false" customWidth="true" hidden="false" outlineLevel="0" max="18" min="18" style="0" width="24"/>
    <col collapsed="false" customWidth="true" hidden="false" outlineLevel="0" max="19" min="19" style="0" width="10"/>
  </cols>
  <sheetData>
    <row r="1" customFormat="false" ht="17.35" hidden="false" customHeight="false" outlineLevel="0" collapsed="false">
      <c r="A1" s="45" t="s">
        <v>91</v>
      </c>
      <c r="B1" s="45"/>
      <c r="C1" s="45"/>
      <c r="D1" s="45"/>
      <c r="E1" s="45"/>
      <c r="F1" s="45"/>
    </row>
    <row r="2" customFormat="false" ht="15" hidden="false" customHeight="false" outlineLevel="0" collapsed="false">
      <c r="R2" s="46" t="s">
        <v>92</v>
      </c>
      <c r="S2" s="47" t="n">
        <f aca="false">SUM(K4:K1000)</f>
        <v>232.2375</v>
      </c>
    </row>
    <row r="3" customFormat="false" ht="23.85" hidden="false" customHeight="false" outlineLevel="0" collapsed="false">
      <c r="A3" s="36" t="s">
        <v>51</v>
      </c>
      <c r="B3" s="36" t="s">
        <v>93</v>
      </c>
      <c r="C3" s="36" t="s">
        <v>53</v>
      </c>
      <c r="D3" s="36" t="s">
        <v>54</v>
      </c>
      <c r="E3" s="36" t="s">
        <v>55</v>
      </c>
      <c r="F3" s="36" t="s">
        <v>56</v>
      </c>
      <c r="G3" s="36" t="s">
        <v>94</v>
      </c>
      <c r="H3" s="36" t="s">
        <v>95</v>
      </c>
      <c r="I3" s="36" t="s">
        <v>96</v>
      </c>
      <c r="J3" s="36" t="s">
        <v>97</v>
      </c>
      <c r="K3" s="36" t="s">
        <v>98</v>
      </c>
      <c r="L3" s="36" t="s">
        <v>99</v>
      </c>
      <c r="M3" s="36" t="s">
        <v>100</v>
      </c>
      <c r="N3" s="36" t="s">
        <v>101</v>
      </c>
      <c r="O3" s="36" t="s">
        <v>102</v>
      </c>
      <c r="P3" s="36" t="s">
        <v>103</v>
      </c>
      <c r="Q3" s="36" t="s">
        <v>104</v>
      </c>
      <c r="R3" s="36" t="s">
        <v>62</v>
      </c>
      <c r="S3" s="36" t="s">
        <v>105</v>
      </c>
    </row>
    <row r="4" customFormat="false" ht="15" hidden="false" customHeight="false" outlineLevel="0" collapsed="false">
      <c r="A4" s="37" t="n">
        <f aca="false">IF(B4="","",ROW()-3)</f>
        <v>1</v>
      </c>
      <c r="B4" s="38" t="n">
        <v>46068</v>
      </c>
      <c r="C4" s="39" t="s">
        <v>106</v>
      </c>
      <c r="D4" s="39" t="s">
        <v>107</v>
      </c>
      <c r="E4" s="39" t="s">
        <v>67</v>
      </c>
      <c r="F4" s="39" t="n">
        <v>1</v>
      </c>
      <c r="G4" s="40" t="n">
        <v>285</v>
      </c>
      <c r="H4" s="39" t="s">
        <v>32</v>
      </c>
      <c r="I4" s="40" t="n">
        <f aca="false">IF(G4="",0,G4*S4)</f>
        <v>37.7625</v>
      </c>
      <c r="J4" s="40" t="n">
        <v>15</v>
      </c>
      <c r="K4" s="40" t="n">
        <f aca="false">IF(G4="",0,G4-I4-IF(J4="",0,J4))</f>
        <v>232.2375</v>
      </c>
      <c r="L4" s="40" t="n">
        <f aca="false">IF(O4="",0,IFERROR(INDEX(Purchases!I:I,MATCH(O4*1,Purchases!A:A,0)),0))</f>
        <v>8.65</v>
      </c>
      <c r="M4" s="40" t="n">
        <f aca="false">IF(G4="",0,K4-L4)</f>
        <v>223.5875</v>
      </c>
      <c r="N4" s="48" t="n">
        <f aca="false">IFERROR(IF(G4="","",M4/G4),"")</f>
        <v>0.784517543859649</v>
      </c>
      <c r="O4" s="39" t="n">
        <v>3</v>
      </c>
      <c r="P4" s="39" t="s">
        <v>108</v>
      </c>
      <c r="Q4" s="39" t="s">
        <v>109</v>
      </c>
      <c r="R4" s="39" t="s">
        <v>110</v>
      </c>
      <c r="S4" s="48" t="n">
        <f aca="false">IFERROR(VLOOKUP(H4,Settings!B14:C25,2,FALSE()),0)</f>
        <v>0.1325</v>
      </c>
    </row>
    <row r="5" customFormat="false" ht="15" hidden="false" customHeight="false" outlineLevel="0" collapsed="false">
      <c r="A5" s="41" t="str">
        <f aca="false">IF(B5="","",ROW()-3)</f>
        <v/>
      </c>
      <c r="B5" s="42"/>
      <c r="G5" s="44"/>
      <c r="I5" s="44" t="n">
        <f aca="false">IF(G5="",0,G5*S5)</f>
        <v>0</v>
      </c>
      <c r="J5" s="44"/>
      <c r="K5" s="44" t="n">
        <f aca="false">IF(G5="",0,G5-I5-IF(J5="",0,J5))</f>
        <v>0</v>
      </c>
      <c r="L5" s="44" t="n">
        <f aca="false">IF(O5="",0,IFERROR(INDEX(Purchases!I:I,MATCH(O5*1,Purchases!A:A,0)),0))</f>
        <v>0</v>
      </c>
      <c r="M5" s="44" t="n">
        <f aca="false">IF(G5="",0,K5-L5)</f>
        <v>0</v>
      </c>
      <c r="N5" s="49" t="str">
        <f aca="false">IFERROR(IF(G5="","",M5/G5),"")</f>
        <v/>
      </c>
      <c r="S5" s="49" t="n">
        <f aca="false">IFERROR(VLOOKUP(H5,Settings!B14:C25,2,FALSE()),0)</f>
        <v>0</v>
      </c>
    </row>
    <row r="6" customFormat="false" ht="15" hidden="false" customHeight="false" outlineLevel="0" collapsed="false">
      <c r="A6" s="37" t="str">
        <f aca="false">IF(B6="","",ROW()-3)</f>
        <v/>
      </c>
      <c r="B6" s="38"/>
      <c r="C6" s="39"/>
      <c r="D6" s="39"/>
      <c r="E6" s="39"/>
      <c r="F6" s="39"/>
      <c r="G6" s="40"/>
      <c r="H6" s="39"/>
      <c r="I6" s="40" t="n">
        <f aca="false">IF(G6="",0,G6*S6)</f>
        <v>0</v>
      </c>
      <c r="J6" s="40"/>
      <c r="K6" s="40" t="n">
        <f aca="false">IF(G6="",0,G6-I6-IF(J6="",0,J6))</f>
        <v>0</v>
      </c>
      <c r="L6" s="40" t="n">
        <f aca="false">IF(O6="",0,IFERROR(INDEX(Purchases!I:I,MATCH(O6*1,Purchases!A:A,0)),0))</f>
        <v>0</v>
      </c>
      <c r="M6" s="40" t="n">
        <f aca="false">IF(G6="",0,K6-L6)</f>
        <v>0</v>
      </c>
      <c r="N6" s="48" t="str">
        <f aca="false">IFERROR(IF(G6="","",M6/G6),"")</f>
        <v/>
      </c>
      <c r="O6" s="39"/>
      <c r="P6" s="39"/>
      <c r="Q6" s="39"/>
      <c r="R6" s="39"/>
      <c r="S6" s="48" t="n">
        <f aca="false">IFERROR(VLOOKUP(H6,Settings!B14:C25,2,FALSE()),0)</f>
        <v>0</v>
      </c>
    </row>
    <row r="7" customFormat="false" ht="15" hidden="false" customHeight="false" outlineLevel="0" collapsed="false">
      <c r="A7" s="41" t="str">
        <f aca="false">IF(B7="","",ROW()-3)</f>
        <v/>
      </c>
      <c r="B7" s="42"/>
      <c r="G7" s="44"/>
      <c r="I7" s="44" t="n">
        <f aca="false">IF(G7="",0,G7*S7)</f>
        <v>0</v>
      </c>
      <c r="J7" s="44"/>
      <c r="K7" s="44" t="n">
        <f aca="false">IF(G7="",0,G7-I7-IF(J7="",0,J7))</f>
        <v>0</v>
      </c>
      <c r="L7" s="44" t="n">
        <f aca="false">IF(O7="",0,IFERROR(INDEX(Purchases!I:I,MATCH(O7*1,Purchases!A:A,0)),0))</f>
        <v>0</v>
      </c>
      <c r="M7" s="44" t="n">
        <f aca="false">IF(G7="",0,K7-L7)</f>
        <v>0</v>
      </c>
      <c r="N7" s="49" t="str">
        <f aca="false">IFERROR(IF(G7="","",M7/G7),"")</f>
        <v/>
      </c>
      <c r="S7" s="49" t="n">
        <f aca="false">IFERROR(VLOOKUP(H7,Settings!B14:C25,2,FALSE()),0)</f>
        <v>0</v>
      </c>
    </row>
    <row r="8" customFormat="false" ht="15" hidden="false" customHeight="false" outlineLevel="0" collapsed="false">
      <c r="A8" s="37" t="str">
        <f aca="false">IF(B8="","",ROW()-3)</f>
        <v/>
      </c>
      <c r="B8" s="38"/>
      <c r="C8" s="39"/>
      <c r="D8" s="39"/>
      <c r="E8" s="39"/>
      <c r="F8" s="39"/>
      <c r="G8" s="40"/>
      <c r="H8" s="39"/>
      <c r="I8" s="40" t="n">
        <f aca="false">IF(G8="",0,G8*S8)</f>
        <v>0</v>
      </c>
      <c r="J8" s="40"/>
      <c r="K8" s="40" t="n">
        <f aca="false">IF(G8="",0,G8-I8-IF(J8="",0,J8))</f>
        <v>0</v>
      </c>
      <c r="L8" s="40" t="n">
        <f aca="false">IF(O8="",0,IFERROR(INDEX(Purchases!I:I,MATCH(O8*1,Purchases!A:A,0)),0))</f>
        <v>0</v>
      </c>
      <c r="M8" s="40" t="n">
        <f aca="false">IF(G8="",0,K8-L8)</f>
        <v>0</v>
      </c>
      <c r="N8" s="48" t="str">
        <f aca="false">IFERROR(IF(G8="","",M8/G8),"")</f>
        <v/>
      </c>
      <c r="O8" s="39"/>
      <c r="P8" s="39"/>
      <c r="Q8" s="39"/>
      <c r="R8" s="39"/>
      <c r="S8" s="48" t="n">
        <f aca="false">IFERROR(VLOOKUP(H8,Settings!B14:C25,2,FALSE()),0)</f>
        <v>0</v>
      </c>
    </row>
    <row r="9" customFormat="false" ht="15" hidden="false" customHeight="false" outlineLevel="0" collapsed="false">
      <c r="A9" s="41" t="str">
        <f aca="false">IF(B9="","",ROW()-3)</f>
        <v/>
      </c>
      <c r="B9" s="42"/>
      <c r="G9" s="44"/>
      <c r="I9" s="44" t="n">
        <f aca="false">IF(G9="",0,G9*S9)</f>
        <v>0</v>
      </c>
      <c r="J9" s="44"/>
      <c r="K9" s="44" t="n">
        <f aca="false">IF(G9="",0,G9-I9-IF(J9="",0,J9))</f>
        <v>0</v>
      </c>
      <c r="L9" s="44" t="n">
        <f aca="false">IF(O9="",0,IFERROR(INDEX(Purchases!I:I,MATCH(O9*1,Purchases!A:A,0)),0))</f>
        <v>0</v>
      </c>
      <c r="M9" s="44" t="n">
        <f aca="false">IF(G9="",0,K9-L9)</f>
        <v>0</v>
      </c>
      <c r="N9" s="49" t="str">
        <f aca="false">IFERROR(IF(G9="","",M9/G9),"")</f>
        <v/>
      </c>
      <c r="S9" s="49" t="n">
        <f aca="false">IFERROR(VLOOKUP(H9,Settings!B14:C25,2,FALSE()),0)</f>
        <v>0</v>
      </c>
    </row>
    <row r="10" customFormat="false" ht="15" hidden="false" customHeight="false" outlineLevel="0" collapsed="false">
      <c r="A10" s="37" t="str">
        <f aca="false">IF(B10="","",ROW()-3)</f>
        <v/>
      </c>
      <c r="B10" s="38"/>
      <c r="C10" s="39"/>
      <c r="D10" s="39"/>
      <c r="E10" s="39"/>
      <c r="F10" s="39"/>
      <c r="G10" s="40"/>
      <c r="H10" s="39"/>
      <c r="I10" s="40" t="n">
        <f aca="false">IF(G10="",0,G10*S10)</f>
        <v>0</v>
      </c>
      <c r="J10" s="40"/>
      <c r="K10" s="40" t="n">
        <f aca="false">IF(G10="",0,G10-I10-IF(J10="",0,J10))</f>
        <v>0</v>
      </c>
      <c r="L10" s="40" t="n">
        <f aca="false">IF(O10="",0,IFERROR(INDEX(Purchases!I:I,MATCH(O10*1,Purchases!A:A,0)),0))</f>
        <v>0</v>
      </c>
      <c r="M10" s="40" t="n">
        <f aca="false">IF(G10="",0,K10-L10)</f>
        <v>0</v>
      </c>
      <c r="N10" s="48" t="str">
        <f aca="false">IFERROR(IF(G10="","",M10/G10),"")</f>
        <v/>
      </c>
      <c r="O10" s="39"/>
      <c r="P10" s="39"/>
      <c r="Q10" s="39"/>
      <c r="R10" s="39"/>
      <c r="S10" s="48" t="n">
        <f aca="false">IFERROR(VLOOKUP(H10,Settings!B14:C25,2,FALSE()),0)</f>
        <v>0</v>
      </c>
    </row>
    <row r="11" customFormat="false" ht="15" hidden="false" customHeight="false" outlineLevel="0" collapsed="false">
      <c r="A11" s="41" t="str">
        <f aca="false">IF(B11="","",ROW()-3)</f>
        <v/>
      </c>
      <c r="B11" s="42"/>
      <c r="G11" s="44"/>
      <c r="I11" s="44" t="n">
        <f aca="false">IF(G11="",0,G11*S11)</f>
        <v>0</v>
      </c>
      <c r="J11" s="44"/>
      <c r="K11" s="44" t="n">
        <f aca="false">IF(G11="",0,G11-I11-IF(J11="",0,J11))</f>
        <v>0</v>
      </c>
      <c r="L11" s="44" t="n">
        <f aca="false">IF(O11="",0,IFERROR(INDEX(Purchases!I:I,MATCH(O11*1,Purchases!A:A,0)),0))</f>
        <v>0</v>
      </c>
      <c r="M11" s="44" t="n">
        <f aca="false">IF(G11="",0,K11-L11)</f>
        <v>0</v>
      </c>
      <c r="N11" s="49" t="str">
        <f aca="false">IFERROR(IF(G11="","",M11/G11),"")</f>
        <v/>
      </c>
      <c r="S11" s="49" t="n">
        <f aca="false">IFERROR(VLOOKUP(H11,Settings!B14:C25,2,FALSE()),0)</f>
        <v>0</v>
      </c>
    </row>
    <row r="12" customFormat="false" ht="15" hidden="false" customHeight="false" outlineLevel="0" collapsed="false">
      <c r="A12" s="37" t="str">
        <f aca="false">IF(B12="","",ROW()-3)</f>
        <v/>
      </c>
      <c r="B12" s="38"/>
      <c r="C12" s="39"/>
      <c r="D12" s="39"/>
      <c r="E12" s="39"/>
      <c r="F12" s="39"/>
      <c r="G12" s="40"/>
      <c r="H12" s="39"/>
      <c r="I12" s="40" t="n">
        <f aca="false">IF(G12="",0,G12*S12)</f>
        <v>0</v>
      </c>
      <c r="J12" s="40"/>
      <c r="K12" s="40" t="n">
        <f aca="false">IF(G12="",0,G12-I12-IF(J12="",0,J12))</f>
        <v>0</v>
      </c>
      <c r="L12" s="40" t="n">
        <f aca="false">IF(O12="",0,IFERROR(INDEX(Purchases!I:I,MATCH(O12*1,Purchases!A:A,0)),0))</f>
        <v>0</v>
      </c>
      <c r="M12" s="40" t="n">
        <f aca="false">IF(G12="",0,K12-L12)</f>
        <v>0</v>
      </c>
      <c r="N12" s="48" t="str">
        <f aca="false">IFERROR(IF(G12="","",M12/G12),"")</f>
        <v/>
      </c>
      <c r="O12" s="39"/>
      <c r="P12" s="39"/>
      <c r="Q12" s="39"/>
      <c r="R12" s="39"/>
      <c r="S12" s="48" t="n">
        <f aca="false">IFERROR(VLOOKUP(H12,Settings!B14:C25,2,FALSE()),0)</f>
        <v>0</v>
      </c>
    </row>
    <row r="13" customFormat="false" ht="15" hidden="false" customHeight="false" outlineLevel="0" collapsed="false">
      <c r="A13" s="41" t="str">
        <f aca="false">IF(B13="","",ROW()-3)</f>
        <v/>
      </c>
      <c r="B13" s="42"/>
      <c r="G13" s="44"/>
      <c r="I13" s="44" t="n">
        <f aca="false">IF(G13="",0,G13*S13)</f>
        <v>0</v>
      </c>
      <c r="J13" s="44"/>
      <c r="K13" s="44" t="n">
        <f aca="false">IF(G13="",0,G13-I13-IF(J13="",0,J13))</f>
        <v>0</v>
      </c>
      <c r="L13" s="44" t="n">
        <f aca="false">IF(O13="",0,IFERROR(INDEX(Purchases!I:I,MATCH(O13*1,Purchases!A:A,0)),0))</f>
        <v>0</v>
      </c>
      <c r="M13" s="44" t="n">
        <f aca="false">IF(G13="",0,K13-L13)</f>
        <v>0</v>
      </c>
      <c r="N13" s="49" t="str">
        <f aca="false">IFERROR(IF(G13="","",M13/G13),"")</f>
        <v/>
      </c>
      <c r="S13" s="49" t="n">
        <f aca="false">IFERROR(VLOOKUP(H13,Settings!B14:C25,2,FALSE()),0)</f>
        <v>0</v>
      </c>
    </row>
    <row r="14" customFormat="false" ht="15" hidden="false" customHeight="false" outlineLevel="0" collapsed="false">
      <c r="A14" s="37" t="str">
        <f aca="false">IF(B14="","",ROW()-3)</f>
        <v/>
      </c>
      <c r="B14" s="38"/>
      <c r="C14" s="39"/>
      <c r="D14" s="39"/>
      <c r="E14" s="39"/>
      <c r="F14" s="39"/>
      <c r="G14" s="40"/>
      <c r="H14" s="39"/>
      <c r="I14" s="40" t="n">
        <f aca="false">IF(G14="",0,G14*S14)</f>
        <v>0</v>
      </c>
      <c r="J14" s="40"/>
      <c r="K14" s="40" t="n">
        <f aca="false">IF(G14="",0,G14-I14-IF(J14="",0,J14))</f>
        <v>0</v>
      </c>
      <c r="L14" s="40" t="n">
        <f aca="false">IF(O14="",0,IFERROR(INDEX(Purchases!I:I,MATCH(O14*1,Purchases!A:A,0)),0))</f>
        <v>0</v>
      </c>
      <c r="M14" s="40" t="n">
        <f aca="false">IF(G14="",0,K14-L14)</f>
        <v>0</v>
      </c>
      <c r="N14" s="48" t="str">
        <f aca="false">IFERROR(IF(G14="","",M14/G14),"")</f>
        <v/>
      </c>
      <c r="O14" s="39"/>
      <c r="P14" s="39"/>
      <c r="Q14" s="39"/>
      <c r="R14" s="39"/>
      <c r="S14" s="48" t="n">
        <f aca="false">IFERROR(VLOOKUP(H14,Settings!B14:C25,2,FALSE()),0)</f>
        <v>0</v>
      </c>
    </row>
    <row r="15" customFormat="false" ht="15" hidden="false" customHeight="false" outlineLevel="0" collapsed="false">
      <c r="A15" s="41" t="str">
        <f aca="false">IF(B15="","",ROW()-3)</f>
        <v/>
      </c>
      <c r="B15" s="42"/>
      <c r="G15" s="44"/>
      <c r="I15" s="44" t="n">
        <f aca="false">IF(G15="",0,G15*S15)</f>
        <v>0</v>
      </c>
      <c r="J15" s="44"/>
      <c r="K15" s="44" t="n">
        <f aca="false">IF(G15="",0,G15-I15-IF(J15="",0,J15))</f>
        <v>0</v>
      </c>
      <c r="L15" s="44" t="n">
        <f aca="false">IF(O15="",0,IFERROR(INDEX(Purchases!I:I,MATCH(O15*1,Purchases!A:A,0)),0))</f>
        <v>0</v>
      </c>
      <c r="M15" s="44" t="n">
        <f aca="false">IF(G15="",0,K15-L15)</f>
        <v>0</v>
      </c>
      <c r="N15" s="49" t="str">
        <f aca="false">IFERROR(IF(G15="","",M15/G15),"")</f>
        <v/>
      </c>
      <c r="S15" s="49" t="n">
        <f aca="false">IFERROR(VLOOKUP(H15,Settings!B14:C25,2,FALSE()),0)</f>
        <v>0</v>
      </c>
    </row>
    <row r="16" customFormat="false" ht="15" hidden="false" customHeight="false" outlineLevel="0" collapsed="false">
      <c r="A16" s="37" t="str">
        <f aca="false">IF(B16="","",ROW()-3)</f>
        <v/>
      </c>
      <c r="B16" s="38"/>
      <c r="C16" s="39"/>
      <c r="D16" s="39"/>
      <c r="E16" s="39"/>
      <c r="F16" s="39"/>
      <c r="G16" s="40"/>
      <c r="H16" s="39"/>
      <c r="I16" s="40" t="n">
        <f aca="false">IF(G16="",0,G16*S16)</f>
        <v>0</v>
      </c>
      <c r="J16" s="40"/>
      <c r="K16" s="40" t="n">
        <f aca="false">IF(G16="",0,G16-I16-IF(J16="",0,J16))</f>
        <v>0</v>
      </c>
      <c r="L16" s="40" t="n">
        <f aca="false">IF(O16="",0,IFERROR(INDEX(Purchases!I:I,MATCH(O16*1,Purchases!A:A,0)),0))</f>
        <v>0</v>
      </c>
      <c r="M16" s="40" t="n">
        <f aca="false">IF(G16="",0,K16-L16)</f>
        <v>0</v>
      </c>
      <c r="N16" s="48" t="str">
        <f aca="false">IFERROR(IF(G16="","",M16/G16),"")</f>
        <v/>
      </c>
      <c r="O16" s="39"/>
      <c r="P16" s="39"/>
      <c r="Q16" s="39"/>
      <c r="R16" s="39"/>
      <c r="S16" s="48" t="n">
        <f aca="false">IFERROR(VLOOKUP(H16,Settings!B14:C25,2,FALSE()),0)</f>
        <v>0</v>
      </c>
    </row>
    <row r="17" customFormat="false" ht="15" hidden="false" customHeight="false" outlineLevel="0" collapsed="false">
      <c r="A17" s="41" t="str">
        <f aca="false">IF(B17="","",ROW()-3)</f>
        <v/>
      </c>
      <c r="B17" s="42"/>
      <c r="G17" s="44"/>
      <c r="I17" s="44" t="n">
        <f aca="false">IF(G17="",0,G17*S17)</f>
        <v>0</v>
      </c>
      <c r="J17" s="44"/>
      <c r="K17" s="44" t="n">
        <f aca="false">IF(G17="",0,G17-I17-IF(J17="",0,J17))</f>
        <v>0</v>
      </c>
      <c r="L17" s="44" t="n">
        <f aca="false">IF(O17="",0,IFERROR(INDEX(Purchases!I:I,MATCH(O17*1,Purchases!A:A,0)),0))</f>
        <v>0</v>
      </c>
      <c r="M17" s="44" t="n">
        <f aca="false">IF(G17="",0,K17-L17)</f>
        <v>0</v>
      </c>
      <c r="N17" s="49" t="str">
        <f aca="false">IFERROR(IF(G17="","",M17/G17),"")</f>
        <v/>
      </c>
      <c r="S17" s="49" t="n">
        <f aca="false">IFERROR(VLOOKUP(H17,Settings!B14:C25,2,FALSE()),0)</f>
        <v>0</v>
      </c>
    </row>
    <row r="18" customFormat="false" ht="15" hidden="false" customHeight="false" outlineLevel="0" collapsed="false">
      <c r="A18" s="37" t="str">
        <f aca="false">IF(B18="","",ROW()-3)</f>
        <v/>
      </c>
      <c r="B18" s="38"/>
      <c r="C18" s="39"/>
      <c r="D18" s="39"/>
      <c r="E18" s="39"/>
      <c r="F18" s="39"/>
      <c r="G18" s="40"/>
      <c r="H18" s="39"/>
      <c r="I18" s="40" t="n">
        <f aca="false">IF(G18="",0,G18*S18)</f>
        <v>0</v>
      </c>
      <c r="J18" s="40"/>
      <c r="K18" s="40" t="n">
        <f aca="false">IF(G18="",0,G18-I18-IF(J18="",0,J18))</f>
        <v>0</v>
      </c>
      <c r="L18" s="40" t="n">
        <f aca="false">IF(O18="",0,IFERROR(INDEX(Purchases!I:I,MATCH(O18*1,Purchases!A:A,0)),0))</f>
        <v>0</v>
      </c>
      <c r="M18" s="40" t="n">
        <f aca="false">IF(G18="",0,K18-L18)</f>
        <v>0</v>
      </c>
      <c r="N18" s="48" t="str">
        <f aca="false">IFERROR(IF(G18="","",M18/G18),"")</f>
        <v/>
      </c>
      <c r="O18" s="39"/>
      <c r="P18" s="39"/>
      <c r="Q18" s="39"/>
      <c r="R18" s="39"/>
      <c r="S18" s="48" t="n">
        <f aca="false">IFERROR(VLOOKUP(H18,Settings!B14:C25,2,FALSE()),0)</f>
        <v>0</v>
      </c>
    </row>
    <row r="19" customFormat="false" ht="15" hidden="false" customHeight="false" outlineLevel="0" collapsed="false">
      <c r="A19" s="41" t="str">
        <f aca="false">IF(B19="","",ROW()-3)</f>
        <v/>
      </c>
      <c r="B19" s="42"/>
      <c r="G19" s="44"/>
      <c r="I19" s="44" t="n">
        <f aca="false">IF(G19="",0,G19*S19)</f>
        <v>0</v>
      </c>
      <c r="J19" s="44"/>
      <c r="K19" s="44" t="n">
        <f aca="false">IF(G19="",0,G19-I19-IF(J19="",0,J19))</f>
        <v>0</v>
      </c>
      <c r="L19" s="44" t="n">
        <f aca="false">IF(O19="",0,IFERROR(INDEX(Purchases!I:I,MATCH(O19*1,Purchases!A:A,0)),0))</f>
        <v>0</v>
      </c>
      <c r="M19" s="44" t="n">
        <f aca="false">IF(G19="",0,K19-L19)</f>
        <v>0</v>
      </c>
      <c r="N19" s="49" t="str">
        <f aca="false">IFERROR(IF(G19="","",M19/G19),"")</f>
        <v/>
      </c>
      <c r="S19" s="49" t="n">
        <f aca="false">IFERROR(VLOOKUP(H19,Settings!B14:C25,2,FALSE()),0)</f>
        <v>0</v>
      </c>
    </row>
    <row r="20" customFormat="false" ht="15" hidden="false" customHeight="false" outlineLevel="0" collapsed="false">
      <c r="A20" s="37" t="str">
        <f aca="false">IF(B20="","",ROW()-3)</f>
        <v/>
      </c>
      <c r="B20" s="38"/>
      <c r="C20" s="39"/>
      <c r="D20" s="39"/>
      <c r="E20" s="39"/>
      <c r="F20" s="39"/>
      <c r="G20" s="40"/>
      <c r="H20" s="39"/>
      <c r="I20" s="40" t="n">
        <f aca="false">IF(G20="",0,G20*S20)</f>
        <v>0</v>
      </c>
      <c r="J20" s="40"/>
      <c r="K20" s="40" t="n">
        <f aca="false">IF(G20="",0,G20-I20-IF(J20="",0,J20))</f>
        <v>0</v>
      </c>
      <c r="L20" s="40" t="n">
        <f aca="false">IF(O20="",0,IFERROR(INDEX(Purchases!I:I,MATCH(O20*1,Purchases!A:A,0)),0))</f>
        <v>0</v>
      </c>
      <c r="M20" s="40" t="n">
        <f aca="false">IF(G20="",0,K20-L20)</f>
        <v>0</v>
      </c>
      <c r="N20" s="48" t="str">
        <f aca="false">IFERROR(IF(G20="","",M20/G20),"")</f>
        <v/>
      </c>
      <c r="O20" s="39"/>
      <c r="P20" s="39"/>
      <c r="Q20" s="39"/>
      <c r="R20" s="39"/>
      <c r="S20" s="48" t="n">
        <f aca="false">IFERROR(VLOOKUP(H20,Settings!B14:C25,2,FALSE()),0)</f>
        <v>0</v>
      </c>
    </row>
    <row r="21" customFormat="false" ht="15" hidden="false" customHeight="false" outlineLevel="0" collapsed="false">
      <c r="A21" s="41" t="str">
        <f aca="false">IF(B21="","",ROW()-3)</f>
        <v/>
      </c>
      <c r="B21" s="42"/>
      <c r="G21" s="44"/>
      <c r="I21" s="44" t="n">
        <f aca="false">IF(G21="",0,G21*S21)</f>
        <v>0</v>
      </c>
      <c r="J21" s="44"/>
      <c r="K21" s="44" t="n">
        <f aca="false">IF(G21="",0,G21-I21-IF(J21="",0,J21))</f>
        <v>0</v>
      </c>
      <c r="L21" s="44" t="n">
        <f aca="false">IF(O21="",0,IFERROR(INDEX(Purchases!I:I,MATCH(O21*1,Purchases!A:A,0)),0))</f>
        <v>0</v>
      </c>
      <c r="M21" s="44" t="n">
        <f aca="false">IF(G21="",0,K21-L21)</f>
        <v>0</v>
      </c>
      <c r="N21" s="49" t="str">
        <f aca="false">IFERROR(IF(G21="","",M21/G21),"")</f>
        <v/>
      </c>
      <c r="S21" s="49" t="n">
        <f aca="false">IFERROR(VLOOKUP(H21,Settings!B14:C25,2,FALSE()),0)</f>
        <v>0</v>
      </c>
    </row>
    <row r="22" customFormat="false" ht="15" hidden="false" customHeight="false" outlineLevel="0" collapsed="false">
      <c r="A22" s="37" t="str">
        <f aca="false">IF(B22="","",ROW()-3)</f>
        <v/>
      </c>
      <c r="B22" s="38"/>
      <c r="C22" s="39"/>
      <c r="D22" s="39"/>
      <c r="E22" s="39"/>
      <c r="F22" s="39"/>
      <c r="G22" s="40"/>
      <c r="H22" s="39"/>
      <c r="I22" s="40" t="n">
        <f aca="false">IF(G22="",0,G22*S22)</f>
        <v>0</v>
      </c>
      <c r="J22" s="40"/>
      <c r="K22" s="40" t="n">
        <f aca="false">IF(G22="",0,G22-I22-IF(J22="",0,J22))</f>
        <v>0</v>
      </c>
      <c r="L22" s="40" t="n">
        <f aca="false">IF(O22="",0,IFERROR(INDEX(Purchases!I:I,MATCH(O22*1,Purchases!A:A,0)),0))</f>
        <v>0</v>
      </c>
      <c r="M22" s="40" t="n">
        <f aca="false">IF(G22="",0,K22-L22)</f>
        <v>0</v>
      </c>
      <c r="N22" s="48" t="str">
        <f aca="false">IFERROR(IF(G22="","",M22/G22),"")</f>
        <v/>
      </c>
      <c r="O22" s="39"/>
      <c r="P22" s="39"/>
      <c r="Q22" s="39"/>
      <c r="R22" s="39"/>
      <c r="S22" s="48" t="n">
        <f aca="false">IFERROR(VLOOKUP(H22,Settings!B14:C25,2,FALSE()),0)</f>
        <v>0</v>
      </c>
    </row>
    <row r="23" customFormat="false" ht="15" hidden="false" customHeight="false" outlineLevel="0" collapsed="false">
      <c r="A23" s="41" t="str">
        <f aca="false">IF(B23="","",ROW()-3)</f>
        <v/>
      </c>
      <c r="B23" s="42"/>
      <c r="G23" s="44"/>
      <c r="I23" s="44" t="n">
        <f aca="false">IF(G23="",0,G23*S23)</f>
        <v>0</v>
      </c>
      <c r="J23" s="44"/>
      <c r="K23" s="44" t="n">
        <f aca="false">IF(G23="",0,G23-I23-IF(J23="",0,J23))</f>
        <v>0</v>
      </c>
      <c r="L23" s="44" t="n">
        <f aca="false">IF(O23="",0,IFERROR(INDEX(Purchases!I:I,MATCH(O23*1,Purchases!A:A,0)),0))</f>
        <v>0</v>
      </c>
      <c r="M23" s="44" t="n">
        <f aca="false">IF(G23="",0,K23-L23)</f>
        <v>0</v>
      </c>
      <c r="N23" s="49" t="str">
        <f aca="false">IFERROR(IF(G23="","",M23/G23),"")</f>
        <v/>
      </c>
      <c r="S23" s="49" t="n">
        <f aca="false">IFERROR(VLOOKUP(H23,Settings!B14:C25,2,FALSE()),0)</f>
        <v>0</v>
      </c>
    </row>
    <row r="24" customFormat="false" ht="15" hidden="false" customHeight="false" outlineLevel="0" collapsed="false">
      <c r="A24" s="37" t="str">
        <f aca="false">IF(B24="","",ROW()-3)</f>
        <v/>
      </c>
      <c r="B24" s="38"/>
      <c r="C24" s="39"/>
      <c r="D24" s="39"/>
      <c r="E24" s="39"/>
      <c r="F24" s="39"/>
      <c r="G24" s="40"/>
      <c r="H24" s="39"/>
      <c r="I24" s="40" t="n">
        <f aca="false">IF(G24="",0,G24*S24)</f>
        <v>0</v>
      </c>
      <c r="J24" s="40"/>
      <c r="K24" s="40" t="n">
        <f aca="false">IF(G24="",0,G24-I24-IF(J24="",0,J24))</f>
        <v>0</v>
      </c>
      <c r="L24" s="40" t="n">
        <f aca="false">IF(O24="",0,IFERROR(INDEX(Purchases!I:I,MATCH(O24*1,Purchases!A:A,0)),0))</f>
        <v>0</v>
      </c>
      <c r="M24" s="40" t="n">
        <f aca="false">IF(G24="",0,K24-L24)</f>
        <v>0</v>
      </c>
      <c r="N24" s="48" t="str">
        <f aca="false">IFERROR(IF(G24="","",M24/G24),"")</f>
        <v/>
      </c>
      <c r="O24" s="39"/>
      <c r="P24" s="39"/>
      <c r="Q24" s="39"/>
      <c r="R24" s="39"/>
      <c r="S24" s="48" t="n">
        <f aca="false">IFERROR(VLOOKUP(H24,Settings!B14:C25,2,FALSE()),0)</f>
        <v>0</v>
      </c>
    </row>
    <row r="25" customFormat="false" ht="15" hidden="false" customHeight="false" outlineLevel="0" collapsed="false">
      <c r="A25" s="41" t="str">
        <f aca="false">IF(B25="","",ROW()-3)</f>
        <v/>
      </c>
      <c r="B25" s="42"/>
      <c r="G25" s="44"/>
      <c r="I25" s="44" t="n">
        <f aca="false">IF(G25="",0,G25*S25)</f>
        <v>0</v>
      </c>
      <c r="J25" s="44"/>
      <c r="K25" s="44" t="n">
        <f aca="false">IF(G25="",0,G25-I25-IF(J25="",0,J25))</f>
        <v>0</v>
      </c>
      <c r="L25" s="44" t="n">
        <f aca="false">IF(O25="",0,IFERROR(INDEX(Purchases!I:I,MATCH(O25*1,Purchases!A:A,0)),0))</f>
        <v>0</v>
      </c>
      <c r="M25" s="44" t="n">
        <f aca="false">IF(G25="",0,K25-L25)</f>
        <v>0</v>
      </c>
      <c r="N25" s="49" t="str">
        <f aca="false">IFERROR(IF(G25="","",M25/G25),"")</f>
        <v/>
      </c>
      <c r="S25" s="49" t="n">
        <f aca="false">IFERROR(VLOOKUP(H25,Settings!B14:C25,2,FALSE()),0)</f>
        <v>0</v>
      </c>
    </row>
    <row r="26" customFormat="false" ht="15" hidden="false" customHeight="false" outlineLevel="0" collapsed="false">
      <c r="A26" s="37" t="str">
        <f aca="false">IF(B26="","",ROW()-3)</f>
        <v/>
      </c>
      <c r="B26" s="38"/>
      <c r="C26" s="39"/>
      <c r="D26" s="39"/>
      <c r="E26" s="39"/>
      <c r="F26" s="39"/>
      <c r="G26" s="40"/>
      <c r="H26" s="39"/>
      <c r="I26" s="40" t="n">
        <f aca="false">IF(G26="",0,G26*S26)</f>
        <v>0</v>
      </c>
      <c r="J26" s="40"/>
      <c r="K26" s="40" t="n">
        <f aca="false">IF(G26="",0,G26-I26-IF(J26="",0,J26))</f>
        <v>0</v>
      </c>
      <c r="L26" s="40" t="n">
        <f aca="false">IF(O26="",0,IFERROR(INDEX(Purchases!I:I,MATCH(O26*1,Purchases!A:A,0)),0))</f>
        <v>0</v>
      </c>
      <c r="M26" s="40" t="n">
        <f aca="false">IF(G26="",0,K26-L26)</f>
        <v>0</v>
      </c>
      <c r="N26" s="48" t="str">
        <f aca="false">IFERROR(IF(G26="","",M26/G26),"")</f>
        <v/>
      </c>
      <c r="O26" s="39"/>
      <c r="P26" s="39"/>
      <c r="Q26" s="39"/>
      <c r="R26" s="39"/>
      <c r="S26" s="48" t="n">
        <f aca="false">IFERROR(VLOOKUP(H26,Settings!B14:C25,2,FALSE()),0)</f>
        <v>0</v>
      </c>
    </row>
    <row r="27" customFormat="false" ht="15" hidden="false" customHeight="false" outlineLevel="0" collapsed="false">
      <c r="A27" s="41" t="str">
        <f aca="false">IF(B27="","",ROW()-3)</f>
        <v/>
      </c>
      <c r="B27" s="42"/>
      <c r="G27" s="44"/>
      <c r="I27" s="44" t="n">
        <f aca="false">IF(G27="",0,G27*S27)</f>
        <v>0</v>
      </c>
      <c r="J27" s="44"/>
      <c r="K27" s="44" t="n">
        <f aca="false">IF(G27="",0,G27-I27-IF(J27="",0,J27))</f>
        <v>0</v>
      </c>
      <c r="L27" s="44" t="n">
        <f aca="false">IF(O27="",0,IFERROR(INDEX(Purchases!I:I,MATCH(O27*1,Purchases!A:A,0)),0))</f>
        <v>0</v>
      </c>
      <c r="M27" s="44" t="n">
        <f aca="false">IF(G27="",0,K27-L27)</f>
        <v>0</v>
      </c>
      <c r="N27" s="49" t="str">
        <f aca="false">IFERROR(IF(G27="","",M27/G27),"")</f>
        <v/>
      </c>
      <c r="S27" s="49" t="n">
        <f aca="false">IFERROR(VLOOKUP(H27,Settings!B14:C25,2,FALSE()),0)</f>
        <v>0</v>
      </c>
    </row>
    <row r="28" customFormat="false" ht="15" hidden="false" customHeight="false" outlineLevel="0" collapsed="false">
      <c r="A28" s="37" t="str">
        <f aca="false">IF(B28="","",ROW()-3)</f>
        <v/>
      </c>
      <c r="B28" s="38"/>
      <c r="C28" s="39"/>
      <c r="D28" s="39"/>
      <c r="E28" s="39"/>
      <c r="F28" s="39"/>
      <c r="G28" s="40"/>
      <c r="H28" s="39"/>
      <c r="I28" s="40" t="n">
        <f aca="false">IF(G28="",0,G28*S28)</f>
        <v>0</v>
      </c>
      <c r="J28" s="40"/>
      <c r="K28" s="40" t="n">
        <f aca="false">IF(G28="",0,G28-I28-IF(J28="",0,J28))</f>
        <v>0</v>
      </c>
      <c r="L28" s="40" t="n">
        <f aca="false">IF(O28="",0,IFERROR(INDEX(Purchases!I:I,MATCH(O28*1,Purchases!A:A,0)),0))</f>
        <v>0</v>
      </c>
      <c r="M28" s="40" t="n">
        <f aca="false">IF(G28="",0,K28-L28)</f>
        <v>0</v>
      </c>
      <c r="N28" s="48" t="str">
        <f aca="false">IFERROR(IF(G28="","",M28/G28),"")</f>
        <v/>
      </c>
      <c r="O28" s="39"/>
      <c r="P28" s="39"/>
      <c r="Q28" s="39"/>
      <c r="R28" s="39"/>
      <c r="S28" s="48" t="n">
        <f aca="false">IFERROR(VLOOKUP(H28,Settings!B14:C25,2,FALSE()),0)</f>
        <v>0</v>
      </c>
    </row>
    <row r="29" customFormat="false" ht="15" hidden="false" customHeight="false" outlineLevel="0" collapsed="false">
      <c r="A29" s="41" t="str">
        <f aca="false">IF(B29="","",ROW()-3)</f>
        <v/>
      </c>
      <c r="B29" s="42"/>
      <c r="G29" s="44"/>
      <c r="I29" s="44" t="n">
        <f aca="false">IF(G29="",0,G29*S29)</f>
        <v>0</v>
      </c>
      <c r="J29" s="44"/>
      <c r="K29" s="44" t="n">
        <f aca="false">IF(G29="",0,G29-I29-IF(J29="",0,J29))</f>
        <v>0</v>
      </c>
      <c r="L29" s="44" t="n">
        <f aca="false">IF(O29="",0,IFERROR(INDEX(Purchases!I:I,MATCH(O29*1,Purchases!A:A,0)),0))</f>
        <v>0</v>
      </c>
      <c r="M29" s="44" t="n">
        <f aca="false">IF(G29="",0,K29-L29)</f>
        <v>0</v>
      </c>
      <c r="N29" s="49" t="str">
        <f aca="false">IFERROR(IF(G29="","",M29/G29),"")</f>
        <v/>
      </c>
      <c r="S29" s="49" t="n">
        <f aca="false">IFERROR(VLOOKUP(H29,Settings!B14:C25,2,FALSE()),0)</f>
        <v>0</v>
      </c>
    </row>
    <row r="30" customFormat="false" ht="15" hidden="false" customHeight="false" outlineLevel="0" collapsed="false">
      <c r="A30" s="37" t="str">
        <f aca="false">IF(B30="","",ROW()-3)</f>
        <v/>
      </c>
      <c r="B30" s="38"/>
      <c r="C30" s="39"/>
      <c r="D30" s="39"/>
      <c r="E30" s="39"/>
      <c r="F30" s="39"/>
      <c r="G30" s="40"/>
      <c r="H30" s="39"/>
      <c r="I30" s="40" t="n">
        <f aca="false">IF(G30="",0,G30*S30)</f>
        <v>0</v>
      </c>
      <c r="J30" s="40"/>
      <c r="K30" s="40" t="n">
        <f aca="false">IF(G30="",0,G30-I30-IF(J30="",0,J30))</f>
        <v>0</v>
      </c>
      <c r="L30" s="40" t="n">
        <f aca="false">IF(O30="",0,IFERROR(INDEX(Purchases!I:I,MATCH(O30*1,Purchases!A:A,0)),0))</f>
        <v>0</v>
      </c>
      <c r="M30" s="40" t="n">
        <f aca="false">IF(G30="",0,K30-L30)</f>
        <v>0</v>
      </c>
      <c r="N30" s="48" t="str">
        <f aca="false">IFERROR(IF(G30="","",M30/G30),"")</f>
        <v/>
      </c>
      <c r="O30" s="39"/>
      <c r="P30" s="39"/>
      <c r="Q30" s="39"/>
      <c r="R30" s="39"/>
      <c r="S30" s="48" t="n">
        <f aca="false">IFERROR(VLOOKUP(H30,Settings!B14:C25,2,FALSE()),0)</f>
        <v>0</v>
      </c>
    </row>
    <row r="31" customFormat="false" ht="15" hidden="false" customHeight="false" outlineLevel="0" collapsed="false">
      <c r="A31" s="41" t="str">
        <f aca="false">IF(B31="","",ROW()-3)</f>
        <v/>
      </c>
      <c r="B31" s="42"/>
      <c r="G31" s="44"/>
      <c r="I31" s="44" t="n">
        <f aca="false">IF(G31="",0,G31*S31)</f>
        <v>0</v>
      </c>
      <c r="J31" s="44"/>
      <c r="K31" s="44" t="n">
        <f aca="false">IF(G31="",0,G31-I31-IF(J31="",0,J31))</f>
        <v>0</v>
      </c>
      <c r="L31" s="44" t="n">
        <f aca="false">IF(O31="",0,IFERROR(INDEX(Purchases!I:I,MATCH(O31*1,Purchases!A:A,0)),0))</f>
        <v>0</v>
      </c>
      <c r="M31" s="44" t="n">
        <f aca="false">IF(G31="",0,K31-L31)</f>
        <v>0</v>
      </c>
      <c r="N31" s="49" t="str">
        <f aca="false">IFERROR(IF(G31="","",M31/G31),"")</f>
        <v/>
      </c>
      <c r="S31" s="49" t="n">
        <f aca="false">IFERROR(VLOOKUP(H31,Settings!B14:C25,2,FALSE()),0)</f>
        <v>0</v>
      </c>
    </row>
    <row r="32" customFormat="false" ht="15" hidden="false" customHeight="false" outlineLevel="0" collapsed="false">
      <c r="A32" s="37" t="str">
        <f aca="false">IF(B32="","",ROW()-3)</f>
        <v/>
      </c>
      <c r="B32" s="38"/>
      <c r="C32" s="39"/>
      <c r="D32" s="39"/>
      <c r="E32" s="39"/>
      <c r="F32" s="39"/>
      <c r="G32" s="40"/>
      <c r="H32" s="39"/>
      <c r="I32" s="40" t="n">
        <f aca="false">IF(G32="",0,G32*S32)</f>
        <v>0</v>
      </c>
      <c r="J32" s="40"/>
      <c r="K32" s="40" t="n">
        <f aca="false">IF(G32="",0,G32-I32-IF(J32="",0,J32))</f>
        <v>0</v>
      </c>
      <c r="L32" s="40" t="n">
        <f aca="false">IF(O32="",0,IFERROR(INDEX(Purchases!I:I,MATCH(O32*1,Purchases!A:A,0)),0))</f>
        <v>0</v>
      </c>
      <c r="M32" s="40" t="n">
        <f aca="false">IF(G32="",0,K32-L32)</f>
        <v>0</v>
      </c>
      <c r="N32" s="48" t="str">
        <f aca="false">IFERROR(IF(G32="","",M32/G32),"")</f>
        <v/>
      </c>
      <c r="O32" s="39"/>
      <c r="P32" s="39"/>
      <c r="Q32" s="39"/>
      <c r="R32" s="39"/>
      <c r="S32" s="48" t="n">
        <f aca="false">IFERROR(VLOOKUP(H32,Settings!B14:C25,2,FALSE()),0)</f>
        <v>0</v>
      </c>
    </row>
    <row r="33" customFormat="false" ht="15" hidden="false" customHeight="false" outlineLevel="0" collapsed="false">
      <c r="A33" s="41" t="str">
        <f aca="false">IF(B33="","",ROW()-3)</f>
        <v/>
      </c>
      <c r="B33" s="42"/>
      <c r="G33" s="44"/>
      <c r="I33" s="44" t="n">
        <f aca="false">IF(G33="",0,G33*S33)</f>
        <v>0</v>
      </c>
      <c r="J33" s="44"/>
      <c r="K33" s="44" t="n">
        <f aca="false">IF(G33="",0,G33-I33-IF(J33="",0,J33))</f>
        <v>0</v>
      </c>
      <c r="L33" s="44" t="n">
        <f aca="false">IF(O33="",0,IFERROR(INDEX(Purchases!I:I,MATCH(O33*1,Purchases!A:A,0)),0))</f>
        <v>0</v>
      </c>
      <c r="M33" s="44" t="n">
        <f aca="false">IF(G33="",0,K33-L33)</f>
        <v>0</v>
      </c>
      <c r="N33" s="49" t="str">
        <f aca="false">IFERROR(IF(G33="","",M33/G33),"")</f>
        <v/>
      </c>
      <c r="S33" s="49" t="n">
        <f aca="false">IFERROR(VLOOKUP(H33,Settings!B14:C25,2,FALSE()),0)</f>
        <v>0</v>
      </c>
    </row>
    <row r="34" customFormat="false" ht="15" hidden="false" customHeight="false" outlineLevel="0" collapsed="false">
      <c r="A34" s="37" t="str">
        <f aca="false">IF(B34="","",ROW()-3)</f>
        <v/>
      </c>
      <c r="B34" s="38"/>
      <c r="C34" s="39"/>
      <c r="D34" s="39"/>
      <c r="E34" s="39"/>
      <c r="F34" s="39"/>
      <c r="G34" s="40"/>
      <c r="H34" s="39"/>
      <c r="I34" s="40" t="n">
        <f aca="false">IF(G34="",0,G34*S34)</f>
        <v>0</v>
      </c>
      <c r="J34" s="40"/>
      <c r="K34" s="40" t="n">
        <f aca="false">IF(G34="",0,G34-I34-IF(J34="",0,J34))</f>
        <v>0</v>
      </c>
      <c r="L34" s="40" t="n">
        <f aca="false">IF(O34="",0,IFERROR(INDEX(Purchases!I:I,MATCH(O34*1,Purchases!A:A,0)),0))</f>
        <v>0</v>
      </c>
      <c r="M34" s="40" t="n">
        <f aca="false">IF(G34="",0,K34-L34)</f>
        <v>0</v>
      </c>
      <c r="N34" s="48" t="str">
        <f aca="false">IFERROR(IF(G34="","",M34/G34),"")</f>
        <v/>
      </c>
      <c r="O34" s="39"/>
      <c r="P34" s="39"/>
      <c r="Q34" s="39"/>
      <c r="R34" s="39"/>
      <c r="S34" s="48" t="n">
        <f aca="false">IFERROR(VLOOKUP(H34,Settings!B14:C25,2,FALSE()),0)</f>
        <v>0</v>
      </c>
    </row>
    <row r="35" customFormat="false" ht="15" hidden="false" customHeight="false" outlineLevel="0" collapsed="false">
      <c r="A35" s="41" t="str">
        <f aca="false">IF(B35="","",ROW()-3)</f>
        <v/>
      </c>
      <c r="B35" s="42"/>
      <c r="G35" s="44"/>
      <c r="I35" s="44" t="n">
        <f aca="false">IF(G35="",0,G35*S35)</f>
        <v>0</v>
      </c>
      <c r="J35" s="44"/>
      <c r="K35" s="44" t="n">
        <f aca="false">IF(G35="",0,G35-I35-IF(J35="",0,J35))</f>
        <v>0</v>
      </c>
      <c r="L35" s="44" t="n">
        <f aca="false">IF(O35="",0,IFERROR(INDEX(Purchases!I:I,MATCH(O35*1,Purchases!A:A,0)),0))</f>
        <v>0</v>
      </c>
      <c r="M35" s="44" t="n">
        <f aca="false">IF(G35="",0,K35-L35)</f>
        <v>0</v>
      </c>
      <c r="N35" s="49" t="str">
        <f aca="false">IFERROR(IF(G35="","",M35/G35),"")</f>
        <v/>
      </c>
      <c r="S35" s="49" t="n">
        <f aca="false">IFERROR(VLOOKUP(H35,Settings!B14:C25,2,FALSE()),0)</f>
        <v>0</v>
      </c>
    </row>
    <row r="36" customFormat="false" ht="15" hidden="false" customHeight="false" outlineLevel="0" collapsed="false">
      <c r="A36" s="37" t="str">
        <f aca="false">IF(B36="","",ROW()-3)</f>
        <v/>
      </c>
      <c r="B36" s="38"/>
      <c r="C36" s="39"/>
      <c r="D36" s="39"/>
      <c r="E36" s="39"/>
      <c r="F36" s="39"/>
      <c r="G36" s="40"/>
      <c r="H36" s="39"/>
      <c r="I36" s="40" t="n">
        <f aca="false">IF(G36="",0,G36*S36)</f>
        <v>0</v>
      </c>
      <c r="J36" s="40"/>
      <c r="K36" s="40" t="n">
        <f aca="false">IF(G36="",0,G36-I36-IF(J36="",0,J36))</f>
        <v>0</v>
      </c>
      <c r="L36" s="40" t="n">
        <f aca="false">IF(O36="",0,IFERROR(INDEX(Purchases!I:I,MATCH(O36*1,Purchases!A:A,0)),0))</f>
        <v>0</v>
      </c>
      <c r="M36" s="40" t="n">
        <f aca="false">IF(G36="",0,K36-L36)</f>
        <v>0</v>
      </c>
      <c r="N36" s="48" t="str">
        <f aca="false">IFERROR(IF(G36="","",M36/G36),"")</f>
        <v/>
      </c>
      <c r="O36" s="39"/>
      <c r="P36" s="39"/>
      <c r="Q36" s="39"/>
      <c r="R36" s="39"/>
      <c r="S36" s="48" t="n">
        <f aca="false">IFERROR(VLOOKUP(H36,Settings!B14:C25,2,FALSE()),0)</f>
        <v>0</v>
      </c>
    </row>
    <row r="37" customFormat="false" ht="15" hidden="false" customHeight="false" outlineLevel="0" collapsed="false">
      <c r="A37" s="41" t="str">
        <f aca="false">IF(B37="","",ROW()-3)</f>
        <v/>
      </c>
      <c r="B37" s="42"/>
      <c r="G37" s="44"/>
      <c r="I37" s="44" t="n">
        <f aca="false">IF(G37="",0,G37*S37)</f>
        <v>0</v>
      </c>
      <c r="J37" s="44"/>
      <c r="K37" s="44" t="n">
        <f aca="false">IF(G37="",0,G37-I37-IF(J37="",0,J37))</f>
        <v>0</v>
      </c>
      <c r="L37" s="44" t="n">
        <f aca="false">IF(O37="",0,IFERROR(INDEX(Purchases!I:I,MATCH(O37*1,Purchases!A:A,0)),0))</f>
        <v>0</v>
      </c>
      <c r="M37" s="44" t="n">
        <f aca="false">IF(G37="",0,K37-L37)</f>
        <v>0</v>
      </c>
      <c r="N37" s="49" t="str">
        <f aca="false">IFERROR(IF(G37="","",M37/G37),"")</f>
        <v/>
      </c>
      <c r="S37" s="49" t="n">
        <f aca="false">IFERROR(VLOOKUP(H37,Settings!B14:C25,2,FALSE()),0)</f>
        <v>0</v>
      </c>
    </row>
    <row r="38" customFormat="false" ht="15" hidden="false" customHeight="false" outlineLevel="0" collapsed="false">
      <c r="A38" s="37" t="str">
        <f aca="false">IF(B38="","",ROW()-3)</f>
        <v/>
      </c>
      <c r="B38" s="38"/>
      <c r="C38" s="39"/>
      <c r="D38" s="39"/>
      <c r="E38" s="39"/>
      <c r="F38" s="39"/>
      <c r="G38" s="40"/>
      <c r="H38" s="39"/>
      <c r="I38" s="40" t="n">
        <f aca="false">IF(G38="",0,G38*S38)</f>
        <v>0</v>
      </c>
      <c r="J38" s="40"/>
      <c r="K38" s="40" t="n">
        <f aca="false">IF(G38="",0,G38-I38-IF(J38="",0,J38))</f>
        <v>0</v>
      </c>
      <c r="L38" s="40" t="n">
        <f aca="false">IF(O38="",0,IFERROR(INDEX(Purchases!I:I,MATCH(O38*1,Purchases!A:A,0)),0))</f>
        <v>0</v>
      </c>
      <c r="M38" s="40" t="n">
        <f aca="false">IF(G38="",0,K38-L38)</f>
        <v>0</v>
      </c>
      <c r="N38" s="48" t="str">
        <f aca="false">IFERROR(IF(G38="","",M38/G38),"")</f>
        <v/>
      </c>
      <c r="O38" s="39"/>
      <c r="P38" s="39"/>
      <c r="Q38" s="39"/>
      <c r="R38" s="39"/>
      <c r="S38" s="48" t="n">
        <f aca="false">IFERROR(VLOOKUP(H38,Settings!B14:C25,2,FALSE()),0)</f>
        <v>0</v>
      </c>
    </row>
    <row r="39" customFormat="false" ht="15" hidden="false" customHeight="false" outlineLevel="0" collapsed="false">
      <c r="A39" s="41" t="str">
        <f aca="false">IF(B39="","",ROW()-3)</f>
        <v/>
      </c>
      <c r="B39" s="42"/>
      <c r="G39" s="44"/>
      <c r="I39" s="44" t="n">
        <f aca="false">IF(G39="",0,G39*S39)</f>
        <v>0</v>
      </c>
      <c r="J39" s="44"/>
      <c r="K39" s="44" t="n">
        <f aca="false">IF(G39="",0,G39-I39-IF(J39="",0,J39))</f>
        <v>0</v>
      </c>
      <c r="L39" s="44" t="n">
        <f aca="false">IF(O39="",0,IFERROR(INDEX(Purchases!I:I,MATCH(O39*1,Purchases!A:A,0)),0))</f>
        <v>0</v>
      </c>
      <c r="M39" s="44" t="n">
        <f aca="false">IF(G39="",0,K39-L39)</f>
        <v>0</v>
      </c>
      <c r="N39" s="49" t="str">
        <f aca="false">IFERROR(IF(G39="","",M39/G39),"")</f>
        <v/>
      </c>
      <c r="S39" s="49" t="n">
        <f aca="false">IFERROR(VLOOKUP(H39,Settings!B14:C25,2,FALSE()),0)</f>
        <v>0</v>
      </c>
    </row>
    <row r="40" customFormat="false" ht="15" hidden="false" customHeight="false" outlineLevel="0" collapsed="false">
      <c r="A40" s="37" t="str">
        <f aca="false">IF(B40="","",ROW()-3)</f>
        <v/>
      </c>
      <c r="B40" s="38"/>
      <c r="C40" s="39"/>
      <c r="D40" s="39"/>
      <c r="E40" s="39"/>
      <c r="F40" s="39"/>
      <c r="G40" s="40"/>
      <c r="H40" s="39"/>
      <c r="I40" s="40" t="n">
        <f aca="false">IF(G40="",0,G40*S40)</f>
        <v>0</v>
      </c>
      <c r="J40" s="40"/>
      <c r="K40" s="40" t="n">
        <f aca="false">IF(G40="",0,G40-I40-IF(J40="",0,J40))</f>
        <v>0</v>
      </c>
      <c r="L40" s="40" t="n">
        <f aca="false">IF(O40="",0,IFERROR(INDEX(Purchases!I:I,MATCH(O40*1,Purchases!A:A,0)),0))</f>
        <v>0</v>
      </c>
      <c r="M40" s="40" t="n">
        <f aca="false">IF(G40="",0,K40-L40)</f>
        <v>0</v>
      </c>
      <c r="N40" s="48" t="str">
        <f aca="false">IFERROR(IF(G40="","",M40/G40),"")</f>
        <v/>
      </c>
      <c r="O40" s="39"/>
      <c r="P40" s="39"/>
      <c r="Q40" s="39"/>
      <c r="R40" s="39"/>
      <c r="S40" s="48" t="n">
        <f aca="false">IFERROR(VLOOKUP(H40,Settings!B14:C25,2,FALSE()),0)</f>
        <v>0</v>
      </c>
    </row>
    <row r="41" customFormat="false" ht="15" hidden="false" customHeight="false" outlineLevel="0" collapsed="false">
      <c r="A41" s="41" t="str">
        <f aca="false">IF(B41="","",ROW()-3)</f>
        <v/>
      </c>
      <c r="B41" s="42"/>
      <c r="G41" s="44"/>
      <c r="I41" s="44" t="n">
        <f aca="false">IF(G41="",0,G41*S41)</f>
        <v>0</v>
      </c>
      <c r="J41" s="44"/>
      <c r="K41" s="44" t="n">
        <f aca="false">IF(G41="",0,G41-I41-IF(J41="",0,J41))</f>
        <v>0</v>
      </c>
      <c r="L41" s="44" t="n">
        <f aca="false">IF(O41="",0,IFERROR(INDEX(Purchases!I:I,MATCH(O41*1,Purchases!A:A,0)),0))</f>
        <v>0</v>
      </c>
      <c r="M41" s="44" t="n">
        <f aca="false">IF(G41="",0,K41-L41)</f>
        <v>0</v>
      </c>
      <c r="N41" s="49" t="str">
        <f aca="false">IFERROR(IF(G41="","",M41/G41),"")</f>
        <v/>
      </c>
      <c r="S41" s="49" t="n">
        <f aca="false">IFERROR(VLOOKUP(H41,Settings!B14:C25,2,FALSE()),0)</f>
        <v>0</v>
      </c>
    </row>
    <row r="42" customFormat="false" ht="15" hidden="false" customHeight="false" outlineLevel="0" collapsed="false">
      <c r="A42" s="37" t="str">
        <f aca="false">IF(B42="","",ROW()-3)</f>
        <v/>
      </c>
      <c r="B42" s="38"/>
      <c r="C42" s="39"/>
      <c r="D42" s="39"/>
      <c r="E42" s="39"/>
      <c r="F42" s="39"/>
      <c r="G42" s="40"/>
      <c r="H42" s="39"/>
      <c r="I42" s="40" t="n">
        <f aca="false">IF(G42="",0,G42*S42)</f>
        <v>0</v>
      </c>
      <c r="J42" s="40"/>
      <c r="K42" s="40" t="n">
        <f aca="false">IF(G42="",0,G42-I42-IF(J42="",0,J42))</f>
        <v>0</v>
      </c>
      <c r="L42" s="40" t="n">
        <f aca="false">IF(O42="",0,IFERROR(INDEX(Purchases!I:I,MATCH(O42*1,Purchases!A:A,0)),0))</f>
        <v>0</v>
      </c>
      <c r="M42" s="40" t="n">
        <f aca="false">IF(G42="",0,K42-L42)</f>
        <v>0</v>
      </c>
      <c r="N42" s="48" t="str">
        <f aca="false">IFERROR(IF(G42="","",M42/G42),"")</f>
        <v/>
      </c>
      <c r="O42" s="39"/>
      <c r="P42" s="39"/>
      <c r="Q42" s="39"/>
      <c r="R42" s="39"/>
      <c r="S42" s="48" t="n">
        <f aca="false">IFERROR(VLOOKUP(H42,Settings!B14:C25,2,FALSE()),0)</f>
        <v>0</v>
      </c>
    </row>
    <row r="43" customFormat="false" ht="15" hidden="false" customHeight="false" outlineLevel="0" collapsed="false">
      <c r="A43" s="41" t="str">
        <f aca="false">IF(B43="","",ROW()-3)</f>
        <v/>
      </c>
      <c r="B43" s="42"/>
      <c r="G43" s="44"/>
      <c r="I43" s="44" t="n">
        <f aca="false">IF(G43="",0,G43*S43)</f>
        <v>0</v>
      </c>
      <c r="J43" s="44"/>
      <c r="K43" s="44" t="n">
        <f aca="false">IF(G43="",0,G43-I43-IF(J43="",0,J43))</f>
        <v>0</v>
      </c>
      <c r="L43" s="44" t="n">
        <f aca="false">IF(O43="",0,IFERROR(INDEX(Purchases!I:I,MATCH(O43*1,Purchases!A:A,0)),0))</f>
        <v>0</v>
      </c>
      <c r="M43" s="44" t="n">
        <f aca="false">IF(G43="",0,K43-L43)</f>
        <v>0</v>
      </c>
      <c r="N43" s="49" t="str">
        <f aca="false">IFERROR(IF(G43="","",M43/G43),"")</f>
        <v/>
      </c>
      <c r="S43" s="49" t="n">
        <f aca="false">IFERROR(VLOOKUP(H43,Settings!B14:C25,2,FALSE()),0)</f>
        <v>0</v>
      </c>
    </row>
    <row r="44" customFormat="false" ht="15" hidden="false" customHeight="false" outlineLevel="0" collapsed="false">
      <c r="A44" s="37" t="str">
        <f aca="false">IF(B44="","",ROW()-3)</f>
        <v/>
      </c>
      <c r="B44" s="38"/>
      <c r="C44" s="39"/>
      <c r="D44" s="39"/>
      <c r="E44" s="39"/>
      <c r="F44" s="39"/>
      <c r="G44" s="40"/>
      <c r="H44" s="39"/>
      <c r="I44" s="40" t="n">
        <f aca="false">IF(G44="",0,G44*S44)</f>
        <v>0</v>
      </c>
      <c r="J44" s="40"/>
      <c r="K44" s="40" t="n">
        <f aca="false">IF(G44="",0,G44-I44-IF(J44="",0,J44))</f>
        <v>0</v>
      </c>
      <c r="L44" s="40" t="n">
        <f aca="false">IF(O44="",0,IFERROR(INDEX(Purchases!I:I,MATCH(O44*1,Purchases!A:A,0)),0))</f>
        <v>0</v>
      </c>
      <c r="M44" s="40" t="n">
        <f aca="false">IF(G44="",0,K44-L44)</f>
        <v>0</v>
      </c>
      <c r="N44" s="48" t="str">
        <f aca="false">IFERROR(IF(G44="","",M44/G44),"")</f>
        <v/>
      </c>
      <c r="O44" s="39"/>
      <c r="P44" s="39"/>
      <c r="Q44" s="39"/>
      <c r="R44" s="39"/>
      <c r="S44" s="48" t="n">
        <f aca="false">IFERROR(VLOOKUP(H44,Settings!B14:C25,2,FALSE()),0)</f>
        <v>0</v>
      </c>
    </row>
    <row r="45" customFormat="false" ht="15" hidden="false" customHeight="false" outlineLevel="0" collapsed="false">
      <c r="A45" s="41" t="str">
        <f aca="false">IF(B45="","",ROW()-3)</f>
        <v/>
      </c>
      <c r="B45" s="42"/>
      <c r="G45" s="44"/>
      <c r="I45" s="44" t="n">
        <f aca="false">IF(G45="",0,G45*S45)</f>
        <v>0</v>
      </c>
      <c r="J45" s="44"/>
      <c r="K45" s="44" t="n">
        <f aca="false">IF(G45="",0,G45-I45-IF(J45="",0,J45))</f>
        <v>0</v>
      </c>
      <c r="L45" s="44" t="n">
        <f aca="false">IF(O45="",0,IFERROR(INDEX(Purchases!I:I,MATCH(O45*1,Purchases!A:A,0)),0))</f>
        <v>0</v>
      </c>
      <c r="M45" s="44" t="n">
        <f aca="false">IF(G45="",0,K45-L45)</f>
        <v>0</v>
      </c>
      <c r="N45" s="49" t="str">
        <f aca="false">IFERROR(IF(G45="","",M45/G45),"")</f>
        <v/>
      </c>
      <c r="S45" s="49" t="n">
        <f aca="false">IFERROR(VLOOKUP(H45,Settings!B14:C25,2,FALSE()),0)</f>
        <v>0</v>
      </c>
    </row>
    <row r="46" customFormat="false" ht="15" hidden="false" customHeight="false" outlineLevel="0" collapsed="false">
      <c r="A46" s="37" t="str">
        <f aca="false">IF(B46="","",ROW()-3)</f>
        <v/>
      </c>
      <c r="B46" s="38"/>
      <c r="C46" s="39"/>
      <c r="D46" s="39"/>
      <c r="E46" s="39"/>
      <c r="F46" s="39"/>
      <c r="G46" s="40"/>
      <c r="H46" s="39"/>
      <c r="I46" s="40" t="n">
        <f aca="false">IF(G46="",0,G46*S46)</f>
        <v>0</v>
      </c>
      <c r="J46" s="40"/>
      <c r="K46" s="40" t="n">
        <f aca="false">IF(G46="",0,G46-I46-IF(J46="",0,J46))</f>
        <v>0</v>
      </c>
      <c r="L46" s="40" t="n">
        <f aca="false">IF(O46="",0,IFERROR(INDEX(Purchases!I:I,MATCH(O46*1,Purchases!A:A,0)),0))</f>
        <v>0</v>
      </c>
      <c r="M46" s="40" t="n">
        <f aca="false">IF(G46="",0,K46-L46)</f>
        <v>0</v>
      </c>
      <c r="N46" s="48" t="str">
        <f aca="false">IFERROR(IF(G46="","",M46/G46),"")</f>
        <v/>
      </c>
      <c r="O46" s="39"/>
      <c r="P46" s="39"/>
      <c r="Q46" s="39"/>
      <c r="R46" s="39"/>
      <c r="S46" s="48" t="n">
        <f aca="false">IFERROR(VLOOKUP(H46,Settings!B14:C25,2,FALSE()),0)</f>
        <v>0</v>
      </c>
    </row>
    <row r="47" customFormat="false" ht="15" hidden="false" customHeight="false" outlineLevel="0" collapsed="false">
      <c r="A47" s="41" t="str">
        <f aca="false">IF(B47="","",ROW()-3)</f>
        <v/>
      </c>
      <c r="B47" s="42"/>
      <c r="G47" s="44"/>
      <c r="I47" s="44" t="n">
        <f aca="false">IF(G47="",0,G47*S47)</f>
        <v>0</v>
      </c>
      <c r="J47" s="44"/>
      <c r="K47" s="44" t="n">
        <f aca="false">IF(G47="",0,G47-I47-IF(J47="",0,J47))</f>
        <v>0</v>
      </c>
      <c r="L47" s="44" t="n">
        <f aca="false">IF(O47="",0,IFERROR(INDEX(Purchases!I:I,MATCH(O47*1,Purchases!A:A,0)),0))</f>
        <v>0</v>
      </c>
      <c r="M47" s="44" t="n">
        <f aca="false">IF(G47="",0,K47-L47)</f>
        <v>0</v>
      </c>
      <c r="N47" s="49" t="str">
        <f aca="false">IFERROR(IF(G47="","",M47/G47),"")</f>
        <v/>
      </c>
      <c r="S47" s="49" t="n">
        <f aca="false">IFERROR(VLOOKUP(H47,Settings!B14:C25,2,FALSE()),0)</f>
        <v>0</v>
      </c>
    </row>
    <row r="48" customFormat="false" ht="15" hidden="false" customHeight="false" outlineLevel="0" collapsed="false">
      <c r="A48" s="37" t="str">
        <f aca="false">IF(B48="","",ROW()-3)</f>
        <v/>
      </c>
      <c r="B48" s="38"/>
      <c r="C48" s="39"/>
      <c r="D48" s="39"/>
      <c r="E48" s="39"/>
      <c r="F48" s="39"/>
      <c r="G48" s="40"/>
      <c r="H48" s="39"/>
      <c r="I48" s="40" t="n">
        <f aca="false">IF(G48="",0,G48*S48)</f>
        <v>0</v>
      </c>
      <c r="J48" s="40"/>
      <c r="K48" s="40" t="n">
        <f aca="false">IF(G48="",0,G48-I48-IF(J48="",0,J48))</f>
        <v>0</v>
      </c>
      <c r="L48" s="40" t="n">
        <f aca="false">IF(O48="",0,IFERROR(INDEX(Purchases!I:I,MATCH(O48*1,Purchases!A:A,0)),0))</f>
        <v>0</v>
      </c>
      <c r="M48" s="40" t="n">
        <f aca="false">IF(G48="",0,K48-L48)</f>
        <v>0</v>
      </c>
      <c r="N48" s="48" t="str">
        <f aca="false">IFERROR(IF(G48="","",M48/G48),"")</f>
        <v/>
      </c>
      <c r="O48" s="39"/>
      <c r="P48" s="39"/>
      <c r="Q48" s="39"/>
      <c r="R48" s="39"/>
      <c r="S48" s="48" t="n">
        <f aca="false">IFERROR(VLOOKUP(H48,Settings!B14:C25,2,FALSE()),0)</f>
        <v>0</v>
      </c>
    </row>
    <row r="49" customFormat="false" ht="15" hidden="false" customHeight="false" outlineLevel="0" collapsed="false">
      <c r="A49" s="41" t="str">
        <f aca="false">IF(B49="","",ROW()-3)</f>
        <v/>
      </c>
      <c r="B49" s="42"/>
      <c r="G49" s="44"/>
      <c r="I49" s="44" t="n">
        <f aca="false">IF(G49="",0,G49*S49)</f>
        <v>0</v>
      </c>
      <c r="J49" s="44"/>
      <c r="K49" s="44" t="n">
        <f aca="false">IF(G49="",0,G49-I49-IF(J49="",0,J49))</f>
        <v>0</v>
      </c>
      <c r="L49" s="44" t="n">
        <f aca="false">IF(O49="",0,IFERROR(INDEX(Purchases!I:I,MATCH(O49*1,Purchases!A:A,0)),0))</f>
        <v>0</v>
      </c>
      <c r="M49" s="44" t="n">
        <f aca="false">IF(G49="",0,K49-L49)</f>
        <v>0</v>
      </c>
      <c r="N49" s="49" t="str">
        <f aca="false">IFERROR(IF(G49="","",M49/G49),"")</f>
        <v/>
      </c>
      <c r="S49" s="49" t="n">
        <f aca="false">IFERROR(VLOOKUP(H49,Settings!B14:C25,2,FALSE()),0)</f>
        <v>0</v>
      </c>
    </row>
    <row r="50" customFormat="false" ht="15" hidden="false" customHeight="false" outlineLevel="0" collapsed="false">
      <c r="A50" s="37" t="str">
        <f aca="false">IF(B50="","",ROW()-3)</f>
        <v/>
      </c>
      <c r="B50" s="38"/>
      <c r="C50" s="39"/>
      <c r="D50" s="39"/>
      <c r="E50" s="39"/>
      <c r="F50" s="39"/>
      <c r="G50" s="40"/>
      <c r="H50" s="39"/>
      <c r="I50" s="40" t="n">
        <f aca="false">IF(G50="",0,G50*S50)</f>
        <v>0</v>
      </c>
      <c r="J50" s="40"/>
      <c r="K50" s="40" t="n">
        <f aca="false">IF(G50="",0,G50-I50-IF(J50="",0,J50))</f>
        <v>0</v>
      </c>
      <c r="L50" s="40" t="n">
        <f aca="false">IF(O50="",0,IFERROR(INDEX(Purchases!I:I,MATCH(O50*1,Purchases!A:A,0)),0))</f>
        <v>0</v>
      </c>
      <c r="M50" s="40" t="n">
        <f aca="false">IF(G50="",0,K50-L50)</f>
        <v>0</v>
      </c>
      <c r="N50" s="48" t="str">
        <f aca="false">IFERROR(IF(G50="","",M50/G50),"")</f>
        <v/>
      </c>
      <c r="O50" s="39"/>
      <c r="P50" s="39"/>
      <c r="Q50" s="39"/>
      <c r="R50" s="39"/>
      <c r="S50" s="48" t="n">
        <f aca="false">IFERROR(VLOOKUP(H50,Settings!B14:C25,2,FALSE()),0)</f>
        <v>0</v>
      </c>
    </row>
    <row r="51" customFormat="false" ht="15" hidden="false" customHeight="false" outlineLevel="0" collapsed="false">
      <c r="A51" s="41" t="str">
        <f aca="false">IF(B51="","",ROW()-3)</f>
        <v/>
      </c>
      <c r="B51" s="42"/>
      <c r="G51" s="44"/>
      <c r="I51" s="44" t="n">
        <f aca="false">IF(G51="",0,G51*S51)</f>
        <v>0</v>
      </c>
      <c r="J51" s="44"/>
      <c r="K51" s="44" t="n">
        <f aca="false">IF(G51="",0,G51-I51-IF(J51="",0,J51))</f>
        <v>0</v>
      </c>
      <c r="L51" s="44" t="n">
        <f aca="false">IF(O51="",0,IFERROR(INDEX(Purchases!I:I,MATCH(O51*1,Purchases!A:A,0)),0))</f>
        <v>0</v>
      </c>
      <c r="M51" s="44" t="n">
        <f aca="false">IF(G51="",0,K51-L51)</f>
        <v>0</v>
      </c>
      <c r="N51" s="49" t="str">
        <f aca="false">IFERROR(IF(G51="","",M51/G51),"")</f>
        <v/>
      </c>
      <c r="S51" s="49" t="n">
        <f aca="false">IFERROR(VLOOKUP(H51,Settings!B14:C25,2,FALSE()),0)</f>
        <v>0</v>
      </c>
    </row>
    <row r="52" customFormat="false" ht="15" hidden="false" customHeight="false" outlineLevel="0" collapsed="false">
      <c r="A52" s="37" t="str">
        <f aca="false">IF(B52="","",ROW()-3)</f>
        <v/>
      </c>
      <c r="B52" s="38"/>
      <c r="C52" s="39"/>
      <c r="D52" s="39"/>
      <c r="E52" s="39"/>
      <c r="F52" s="39"/>
      <c r="G52" s="40"/>
      <c r="H52" s="39"/>
      <c r="I52" s="40" t="n">
        <f aca="false">IF(G52="",0,G52*S52)</f>
        <v>0</v>
      </c>
      <c r="J52" s="40"/>
      <c r="K52" s="40" t="n">
        <f aca="false">IF(G52="",0,G52-I52-IF(J52="",0,J52))</f>
        <v>0</v>
      </c>
      <c r="L52" s="40" t="n">
        <f aca="false">IF(O52="",0,IFERROR(INDEX(Purchases!I:I,MATCH(O52*1,Purchases!A:A,0)),0))</f>
        <v>0</v>
      </c>
      <c r="M52" s="40" t="n">
        <f aca="false">IF(G52="",0,K52-L52)</f>
        <v>0</v>
      </c>
      <c r="N52" s="48" t="str">
        <f aca="false">IFERROR(IF(G52="","",M52/G52),"")</f>
        <v/>
      </c>
      <c r="O52" s="39"/>
      <c r="P52" s="39"/>
      <c r="Q52" s="39"/>
      <c r="R52" s="39"/>
      <c r="S52" s="48" t="n">
        <f aca="false">IFERROR(VLOOKUP(H52,Settings!B14:C25,2,FALSE()),0)</f>
        <v>0</v>
      </c>
    </row>
    <row r="53" customFormat="false" ht="15" hidden="false" customHeight="false" outlineLevel="0" collapsed="false">
      <c r="A53" s="41" t="str">
        <f aca="false">IF(B53="","",ROW()-3)</f>
        <v/>
      </c>
      <c r="B53" s="42"/>
      <c r="G53" s="44"/>
      <c r="I53" s="44" t="n">
        <f aca="false">IF(G53="",0,G53*S53)</f>
        <v>0</v>
      </c>
      <c r="J53" s="44"/>
      <c r="K53" s="44" t="n">
        <f aca="false">IF(G53="",0,G53-I53-IF(J53="",0,J53))</f>
        <v>0</v>
      </c>
      <c r="L53" s="44" t="n">
        <f aca="false">IF(O53="",0,IFERROR(INDEX(Purchases!I:I,MATCH(O53*1,Purchases!A:A,0)),0))</f>
        <v>0</v>
      </c>
      <c r="M53" s="44" t="n">
        <f aca="false">IF(G53="",0,K53-L53)</f>
        <v>0</v>
      </c>
      <c r="N53" s="49" t="str">
        <f aca="false">IFERROR(IF(G53="","",M53/G53),"")</f>
        <v/>
      </c>
      <c r="S53" s="49" t="n">
        <f aca="false">IFERROR(VLOOKUP(H53,Settings!B14:C25,2,FALSE()),0)</f>
        <v>0</v>
      </c>
    </row>
    <row r="54" customFormat="false" ht="15" hidden="false" customHeight="false" outlineLevel="0" collapsed="false">
      <c r="A54" s="37" t="str">
        <f aca="false">IF(B54="","",ROW()-3)</f>
        <v/>
      </c>
      <c r="B54" s="38"/>
      <c r="C54" s="39"/>
      <c r="D54" s="39"/>
      <c r="E54" s="39"/>
      <c r="F54" s="39"/>
      <c r="G54" s="40"/>
      <c r="H54" s="39"/>
      <c r="I54" s="40" t="n">
        <f aca="false">IF(G54="",0,G54*S54)</f>
        <v>0</v>
      </c>
      <c r="J54" s="40"/>
      <c r="K54" s="40" t="n">
        <f aca="false">IF(G54="",0,G54-I54-IF(J54="",0,J54))</f>
        <v>0</v>
      </c>
      <c r="L54" s="40" t="n">
        <f aca="false">IF(O54="",0,IFERROR(INDEX(Purchases!I:I,MATCH(O54*1,Purchases!A:A,0)),0))</f>
        <v>0</v>
      </c>
      <c r="M54" s="40" t="n">
        <f aca="false">IF(G54="",0,K54-L54)</f>
        <v>0</v>
      </c>
      <c r="N54" s="48" t="str">
        <f aca="false">IFERROR(IF(G54="","",M54/G54),"")</f>
        <v/>
      </c>
      <c r="O54" s="39"/>
      <c r="P54" s="39"/>
      <c r="Q54" s="39"/>
      <c r="R54" s="39"/>
      <c r="S54" s="48" t="n">
        <f aca="false">IFERROR(VLOOKUP(H54,Settings!B14:C25,2,FALSE()),0)</f>
        <v>0</v>
      </c>
    </row>
    <row r="55" customFormat="false" ht="15" hidden="false" customHeight="false" outlineLevel="0" collapsed="false">
      <c r="A55" s="41" t="str">
        <f aca="false">IF(B55="","",ROW()-3)</f>
        <v/>
      </c>
      <c r="B55" s="42"/>
      <c r="G55" s="44"/>
      <c r="I55" s="44" t="n">
        <f aca="false">IF(G55="",0,G55*S55)</f>
        <v>0</v>
      </c>
      <c r="J55" s="44"/>
      <c r="K55" s="44" t="n">
        <f aca="false">IF(G55="",0,G55-I55-IF(J55="",0,J55))</f>
        <v>0</v>
      </c>
      <c r="L55" s="44" t="n">
        <f aca="false">IF(O55="",0,IFERROR(INDEX(Purchases!I:I,MATCH(O55*1,Purchases!A:A,0)),0))</f>
        <v>0</v>
      </c>
      <c r="M55" s="44" t="n">
        <f aca="false">IF(G55="",0,K55-L55)</f>
        <v>0</v>
      </c>
      <c r="N55" s="49" t="str">
        <f aca="false">IFERROR(IF(G55="","",M55/G55),"")</f>
        <v/>
      </c>
      <c r="S55" s="49" t="n">
        <f aca="false">IFERROR(VLOOKUP(H55,Settings!B14:C25,2,FALSE()),0)</f>
        <v>0</v>
      </c>
    </row>
    <row r="56" customFormat="false" ht="15" hidden="false" customHeight="false" outlineLevel="0" collapsed="false">
      <c r="A56" s="37" t="str">
        <f aca="false">IF(B56="","",ROW()-3)</f>
        <v/>
      </c>
      <c r="B56" s="38"/>
      <c r="C56" s="39"/>
      <c r="D56" s="39"/>
      <c r="E56" s="39"/>
      <c r="F56" s="39"/>
      <c r="G56" s="40"/>
      <c r="H56" s="39"/>
      <c r="I56" s="40" t="n">
        <f aca="false">IF(G56="",0,G56*S56)</f>
        <v>0</v>
      </c>
      <c r="J56" s="40"/>
      <c r="K56" s="40" t="n">
        <f aca="false">IF(G56="",0,G56-I56-IF(J56="",0,J56))</f>
        <v>0</v>
      </c>
      <c r="L56" s="40" t="n">
        <f aca="false">IF(O56="",0,IFERROR(INDEX(Purchases!I:I,MATCH(O56*1,Purchases!A:A,0)),0))</f>
        <v>0</v>
      </c>
      <c r="M56" s="40" t="n">
        <f aca="false">IF(G56="",0,K56-L56)</f>
        <v>0</v>
      </c>
      <c r="N56" s="48" t="str">
        <f aca="false">IFERROR(IF(G56="","",M56/G56),"")</f>
        <v/>
      </c>
      <c r="O56" s="39"/>
      <c r="P56" s="39"/>
      <c r="Q56" s="39"/>
      <c r="R56" s="39"/>
      <c r="S56" s="48" t="n">
        <f aca="false">IFERROR(VLOOKUP(H56,Settings!B14:C25,2,FALSE()),0)</f>
        <v>0</v>
      </c>
    </row>
    <row r="57" customFormat="false" ht="15" hidden="false" customHeight="false" outlineLevel="0" collapsed="false">
      <c r="A57" s="41" t="str">
        <f aca="false">IF(B57="","",ROW()-3)</f>
        <v/>
      </c>
      <c r="B57" s="42"/>
      <c r="G57" s="44"/>
      <c r="I57" s="44" t="n">
        <f aca="false">IF(G57="",0,G57*S57)</f>
        <v>0</v>
      </c>
      <c r="J57" s="44"/>
      <c r="K57" s="44" t="n">
        <f aca="false">IF(G57="",0,G57-I57-IF(J57="",0,J57))</f>
        <v>0</v>
      </c>
      <c r="L57" s="44" t="n">
        <f aca="false">IF(O57="",0,IFERROR(INDEX(Purchases!I:I,MATCH(O57*1,Purchases!A:A,0)),0))</f>
        <v>0</v>
      </c>
      <c r="M57" s="44" t="n">
        <f aca="false">IF(G57="",0,K57-L57)</f>
        <v>0</v>
      </c>
      <c r="N57" s="49" t="str">
        <f aca="false">IFERROR(IF(G57="","",M57/G57),"")</f>
        <v/>
      </c>
      <c r="S57" s="49" t="n">
        <f aca="false">IFERROR(VLOOKUP(H57,Settings!B14:C25,2,FALSE()),0)</f>
        <v>0</v>
      </c>
    </row>
    <row r="58" customFormat="false" ht="15" hidden="false" customHeight="false" outlineLevel="0" collapsed="false">
      <c r="A58" s="37" t="str">
        <f aca="false">IF(B58="","",ROW()-3)</f>
        <v/>
      </c>
      <c r="B58" s="38"/>
      <c r="C58" s="39"/>
      <c r="D58" s="39"/>
      <c r="E58" s="39"/>
      <c r="F58" s="39"/>
      <c r="G58" s="40"/>
      <c r="H58" s="39"/>
      <c r="I58" s="40" t="n">
        <f aca="false">IF(G58="",0,G58*S58)</f>
        <v>0</v>
      </c>
      <c r="J58" s="40"/>
      <c r="K58" s="40" t="n">
        <f aca="false">IF(G58="",0,G58-I58-IF(J58="",0,J58))</f>
        <v>0</v>
      </c>
      <c r="L58" s="40" t="n">
        <f aca="false">IF(O58="",0,IFERROR(INDEX(Purchases!I:I,MATCH(O58*1,Purchases!A:A,0)),0))</f>
        <v>0</v>
      </c>
      <c r="M58" s="40" t="n">
        <f aca="false">IF(G58="",0,K58-L58)</f>
        <v>0</v>
      </c>
      <c r="N58" s="48" t="str">
        <f aca="false">IFERROR(IF(G58="","",M58/G58),"")</f>
        <v/>
      </c>
      <c r="O58" s="39"/>
      <c r="P58" s="39"/>
      <c r="Q58" s="39"/>
      <c r="R58" s="39"/>
      <c r="S58" s="48" t="n">
        <f aca="false">IFERROR(VLOOKUP(H58,Settings!B14:C25,2,FALSE()),0)</f>
        <v>0</v>
      </c>
    </row>
    <row r="59" customFormat="false" ht="15" hidden="false" customHeight="false" outlineLevel="0" collapsed="false">
      <c r="A59" s="41" t="str">
        <f aca="false">IF(B59="","",ROW()-3)</f>
        <v/>
      </c>
      <c r="B59" s="42"/>
      <c r="G59" s="44"/>
      <c r="I59" s="44" t="n">
        <f aca="false">IF(G59="",0,G59*S59)</f>
        <v>0</v>
      </c>
      <c r="J59" s="44"/>
      <c r="K59" s="44" t="n">
        <f aca="false">IF(G59="",0,G59-I59-IF(J59="",0,J59))</f>
        <v>0</v>
      </c>
      <c r="L59" s="44" t="n">
        <f aca="false">IF(O59="",0,IFERROR(INDEX(Purchases!I:I,MATCH(O59*1,Purchases!A:A,0)),0))</f>
        <v>0</v>
      </c>
      <c r="M59" s="44" t="n">
        <f aca="false">IF(G59="",0,K59-L59)</f>
        <v>0</v>
      </c>
      <c r="N59" s="49" t="str">
        <f aca="false">IFERROR(IF(G59="","",M59/G59),"")</f>
        <v/>
      </c>
      <c r="S59" s="49" t="n">
        <f aca="false">IFERROR(VLOOKUP(H59,Settings!B14:C25,2,FALSE()),0)</f>
        <v>0</v>
      </c>
    </row>
    <row r="60" customFormat="false" ht="15" hidden="false" customHeight="false" outlineLevel="0" collapsed="false">
      <c r="A60" s="37" t="str">
        <f aca="false">IF(B60="","",ROW()-3)</f>
        <v/>
      </c>
      <c r="B60" s="38"/>
      <c r="C60" s="39"/>
      <c r="D60" s="39"/>
      <c r="E60" s="39"/>
      <c r="F60" s="39"/>
      <c r="G60" s="40"/>
      <c r="H60" s="39"/>
      <c r="I60" s="40" t="n">
        <f aca="false">IF(G60="",0,G60*S60)</f>
        <v>0</v>
      </c>
      <c r="J60" s="40"/>
      <c r="K60" s="40" t="n">
        <f aca="false">IF(G60="",0,G60-I60-IF(J60="",0,J60))</f>
        <v>0</v>
      </c>
      <c r="L60" s="40" t="n">
        <f aca="false">IF(O60="",0,IFERROR(INDEX(Purchases!I:I,MATCH(O60*1,Purchases!A:A,0)),0))</f>
        <v>0</v>
      </c>
      <c r="M60" s="40" t="n">
        <f aca="false">IF(G60="",0,K60-L60)</f>
        <v>0</v>
      </c>
      <c r="N60" s="48" t="str">
        <f aca="false">IFERROR(IF(G60="","",M60/G60),"")</f>
        <v/>
      </c>
      <c r="O60" s="39"/>
      <c r="P60" s="39"/>
      <c r="Q60" s="39"/>
      <c r="R60" s="39"/>
      <c r="S60" s="48" t="n">
        <f aca="false">IFERROR(VLOOKUP(H60,Settings!B14:C25,2,FALSE()),0)</f>
        <v>0</v>
      </c>
    </row>
    <row r="61" customFormat="false" ht="15" hidden="false" customHeight="false" outlineLevel="0" collapsed="false">
      <c r="A61" s="41" t="str">
        <f aca="false">IF(B61="","",ROW()-3)</f>
        <v/>
      </c>
      <c r="B61" s="42"/>
      <c r="G61" s="44"/>
      <c r="I61" s="44" t="n">
        <f aca="false">IF(G61="",0,G61*S61)</f>
        <v>0</v>
      </c>
      <c r="J61" s="44"/>
      <c r="K61" s="44" t="n">
        <f aca="false">IF(G61="",0,G61-I61-IF(J61="",0,J61))</f>
        <v>0</v>
      </c>
      <c r="L61" s="44" t="n">
        <f aca="false">IF(O61="",0,IFERROR(INDEX(Purchases!I:I,MATCH(O61*1,Purchases!A:A,0)),0))</f>
        <v>0</v>
      </c>
      <c r="M61" s="44" t="n">
        <f aca="false">IF(G61="",0,K61-L61)</f>
        <v>0</v>
      </c>
      <c r="N61" s="49" t="str">
        <f aca="false">IFERROR(IF(G61="","",M61/G61),"")</f>
        <v/>
      </c>
      <c r="S61" s="49" t="n">
        <f aca="false">IFERROR(VLOOKUP(H61,Settings!B14:C25,2,FALSE()),0)</f>
        <v>0</v>
      </c>
    </row>
    <row r="62" customFormat="false" ht="15" hidden="false" customHeight="false" outlineLevel="0" collapsed="false">
      <c r="A62" s="37" t="str">
        <f aca="false">IF(B62="","",ROW()-3)</f>
        <v/>
      </c>
      <c r="B62" s="38"/>
      <c r="C62" s="39"/>
      <c r="D62" s="39"/>
      <c r="E62" s="39"/>
      <c r="F62" s="39"/>
      <c r="G62" s="40"/>
      <c r="H62" s="39"/>
      <c r="I62" s="40" t="n">
        <f aca="false">IF(G62="",0,G62*S62)</f>
        <v>0</v>
      </c>
      <c r="J62" s="40"/>
      <c r="K62" s="40" t="n">
        <f aca="false">IF(G62="",0,G62-I62-IF(J62="",0,J62))</f>
        <v>0</v>
      </c>
      <c r="L62" s="40" t="n">
        <f aca="false">IF(O62="",0,IFERROR(INDEX(Purchases!I:I,MATCH(O62*1,Purchases!A:A,0)),0))</f>
        <v>0</v>
      </c>
      <c r="M62" s="40" t="n">
        <f aca="false">IF(G62="",0,K62-L62)</f>
        <v>0</v>
      </c>
      <c r="N62" s="48" t="str">
        <f aca="false">IFERROR(IF(G62="","",M62/G62),"")</f>
        <v/>
      </c>
      <c r="O62" s="39"/>
      <c r="P62" s="39"/>
      <c r="Q62" s="39"/>
      <c r="R62" s="39"/>
      <c r="S62" s="48" t="n">
        <f aca="false">IFERROR(VLOOKUP(H62,Settings!B14:C25,2,FALSE()),0)</f>
        <v>0</v>
      </c>
    </row>
    <row r="63" customFormat="false" ht="15" hidden="false" customHeight="false" outlineLevel="0" collapsed="false">
      <c r="A63" s="41" t="str">
        <f aca="false">IF(B63="","",ROW()-3)</f>
        <v/>
      </c>
      <c r="B63" s="42"/>
      <c r="G63" s="44"/>
      <c r="I63" s="44" t="n">
        <f aca="false">IF(G63="",0,G63*S63)</f>
        <v>0</v>
      </c>
      <c r="J63" s="44"/>
      <c r="K63" s="44" t="n">
        <f aca="false">IF(G63="",0,G63-I63-IF(J63="",0,J63))</f>
        <v>0</v>
      </c>
      <c r="L63" s="44" t="n">
        <f aca="false">IF(O63="",0,IFERROR(INDEX(Purchases!I:I,MATCH(O63*1,Purchases!A:A,0)),0))</f>
        <v>0</v>
      </c>
      <c r="M63" s="44" t="n">
        <f aca="false">IF(G63="",0,K63-L63)</f>
        <v>0</v>
      </c>
      <c r="N63" s="49" t="str">
        <f aca="false">IFERROR(IF(G63="","",M63/G63),"")</f>
        <v/>
      </c>
      <c r="S63" s="49" t="n">
        <f aca="false">IFERROR(VLOOKUP(H63,Settings!B14:C25,2,FALSE()),0)</f>
        <v>0</v>
      </c>
    </row>
    <row r="64" customFormat="false" ht="15" hidden="false" customHeight="false" outlineLevel="0" collapsed="false">
      <c r="A64" s="37" t="str">
        <f aca="false">IF(B64="","",ROW()-3)</f>
        <v/>
      </c>
      <c r="B64" s="38"/>
      <c r="C64" s="39"/>
      <c r="D64" s="39"/>
      <c r="E64" s="39"/>
      <c r="F64" s="39"/>
      <c r="G64" s="40"/>
      <c r="H64" s="39"/>
      <c r="I64" s="40" t="n">
        <f aca="false">IF(G64="",0,G64*S64)</f>
        <v>0</v>
      </c>
      <c r="J64" s="40"/>
      <c r="K64" s="40" t="n">
        <f aca="false">IF(G64="",0,G64-I64-IF(J64="",0,J64))</f>
        <v>0</v>
      </c>
      <c r="L64" s="40" t="n">
        <f aca="false">IF(O64="",0,IFERROR(INDEX(Purchases!I:I,MATCH(O64*1,Purchases!A:A,0)),0))</f>
        <v>0</v>
      </c>
      <c r="M64" s="40" t="n">
        <f aca="false">IF(G64="",0,K64-L64)</f>
        <v>0</v>
      </c>
      <c r="N64" s="48" t="str">
        <f aca="false">IFERROR(IF(G64="","",M64/G64),"")</f>
        <v/>
      </c>
      <c r="O64" s="39"/>
      <c r="P64" s="39"/>
      <c r="Q64" s="39"/>
      <c r="R64" s="39"/>
      <c r="S64" s="48" t="n">
        <f aca="false">IFERROR(VLOOKUP(H64,Settings!B14:C25,2,FALSE()),0)</f>
        <v>0</v>
      </c>
    </row>
    <row r="65" customFormat="false" ht="15" hidden="false" customHeight="false" outlineLevel="0" collapsed="false">
      <c r="A65" s="41" t="str">
        <f aca="false">IF(B65="","",ROW()-3)</f>
        <v/>
      </c>
      <c r="B65" s="42"/>
      <c r="G65" s="44"/>
      <c r="I65" s="44" t="n">
        <f aca="false">IF(G65="",0,G65*S65)</f>
        <v>0</v>
      </c>
      <c r="J65" s="44"/>
      <c r="K65" s="44" t="n">
        <f aca="false">IF(G65="",0,G65-I65-IF(J65="",0,J65))</f>
        <v>0</v>
      </c>
      <c r="L65" s="44" t="n">
        <f aca="false">IF(O65="",0,IFERROR(INDEX(Purchases!I:I,MATCH(O65*1,Purchases!A:A,0)),0))</f>
        <v>0</v>
      </c>
      <c r="M65" s="44" t="n">
        <f aca="false">IF(G65="",0,K65-L65)</f>
        <v>0</v>
      </c>
      <c r="N65" s="49" t="str">
        <f aca="false">IFERROR(IF(G65="","",M65/G65),"")</f>
        <v/>
      </c>
      <c r="S65" s="49" t="n">
        <f aca="false">IFERROR(VLOOKUP(H65,Settings!B14:C25,2,FALSE()),0)</f>
        <v>0</v>
      </c>
    </row>
    <row r="66" customFormat="false" ht="15" hidden="false" customHeight="false" outlineLevel="0" collapsed="false">
      <c r="A66" s="37" t="str">
        <f aca="false">IF(B66="","",ROW()-3)</f>
        <v/>
      </c>
      <c r="B66" s="38"/>
      <c r="C66" s="39"/>
      <c r="D66" s="39"/>
      <c r="E66" s="39"/>
      <c r="F66" s="39"/>
      <c r="G66" s="40"/>
      <c r="H66" s="39"/>
      <c r="I66" s="40" t="n">
        <f aca="false">IF(G66="",0,G66*S66)</f>
        <v>0</v>
      </c>
      <c r="J66" s="40"/>
      <c r="K66" s="40" t="n">
        <f aca="false">IF(G66="",0,G66-I66-IF(J66="",0,J66))</f>
        <v>0</v>
      </c>
      <c r="L66" s="40" t="n">
        <f aca="false">IF(O66="",0,IFERROR(INDEX(Purchases!I:I,MATCH(O66*1,Purchases!A:A,0)),0))</f>
        <v>0</v>
      </c>
      <c r="M66" s="40" t="n">
        <f aca="false">IF(G66="",0,K66-L66)</f>
        <v>0</v>
      </c>
      <c r="N66" s="48" t="str">
        <f aca="false">IFERROR(IF(G66="","",M66/G66),"")</f>
        <v/>
      </c>
      <c r="O66" s="39"/>
      <c r="P66" s="39"/>
      <c r="Q66" s="39"/>
      <c r="R66" s="39"/>
      <c r="S66" s="48" t="n">
        <f aca="false">IFERROR(VLOOKUP(H66,Settings!B14:C25,2,FALSE()),0)</f>
        <v>0</v>
      </c>
    </row>
    <row r="67" customFormat="false" ht="15" hidden="false" customHeight="false" outlineLevel="0" collapsed="false">
      <c r="A67" s="41" t="str">
        <f aca="false">IF(B67="","",ROW()-3)</f>
        <v/>
      </c>
      <c r="B67" s="42"/>
      <c r="G67" s="44"/>
      <c r="I67" s="44" t="n">
        <f aca="false">IF(G67="",0,G67*S67)</f>
        <v>0</v>
      </c>
      <c r="J67" s="44"/>
      <c r="K67" s="44" t="n">
        <f aca="false">IF(G67="",0,G67-I67-IF(J67="",0,J67))</f>
        <v>0</v>
      </c>
      <c r="L67" s="44" t="n">
        <f aca="false">IF(O67="",0,IFERROR(INDEX(Purchases!I:I,MATCH(O67*1,Purchases!A:A,0)),0))</f>
        <v>0</v>
      </c>
      <c r="M67" s="44" t="n">
        <f aca="false">IF(G67="",0,K67-L67)</f>
        <v>0</v>
      </c>
      <c r="N67" s="49" t="str">
        <f aca="false">IFERROR(IF(G67="","",M67/G67),"")</f>
        <v/>
      </c>
      <c r="S67" s="49" t="n">
        <f aca="false">IFERROR(VLOOKUP(H67,Settings!B14:C25,2,FALSE()),0)</f>
        <v>0</v>
      </c>
    </row>
    <row r="68" customFormat="false" ht="15" hidden="false" customHeight="false" outlineLevel="0" collapsed="false">
      <c r="A68" s="37" t="str">
        <f aca="false">IF(B68="","",ROW()-3)</f>
        <v/>
      </c>
      <c r="B68" s="38"/>
      <c r="C68" s="39"/>
      <c r="D68" s="39"/>
      <c r="E68" s="39"/>
      <c r="F68" s="39"/>
      <c r="G68" s="40"/>
      <c r="H68" s="39"/>
      <c r="I68" s="40" t="n">
        <f aca="false">IF(G68="",0,G68*S68)</f>
        <v>0</v>
      </c>
      <c r="J68" s="40"/>
      <c r="K68" s="40" t="n">
        <f aca="false">IF(G68="",0,G68-I68-IF(J68="",0,J68))</f>
        <v>0</v>
      </c>
      <c r="L68" s="40" t="n">
        <f aca="false">IF(O68="",0,IFERROR(INDEX(Purchases!I:I,MATCH(O68*1,Purchases!A:A,0)),0))</f>
        <v>0</v>
      </c>
      <c r="M68" s="40" t="n">
        <f aca="false">IF(G68="",0,K68-L68)</f>
        <v>0</v>
      </c>
      <c r="N68" s="48" t="str">
        <f aca="false">IFERROR(IF(G68="","",M68/G68),"")</f>
        <v/>
      </c>
      <c r="O68" s="39"/>
      <c r="P68" s="39"/>
      <c r="Q68" s="39"/>
      <c r="R68" s="39"/>
      <c r="S68" s="48" t="n">
        <f aca="false">IFERROR(VLOOKUP(H68,Settings!B14:C25,2,FALSE()),0)</f>
        <v>0</v>
      </c>
    </row>
    <row r="69" customFormat="false" ht="15" hidden="false" customHeight="false" outlineLevel="0" collapsed="false">
      <c r="A69" s="41" t="str">
        <f aca="false">IF(B69="","",ROW()-3)</f>
        <v/>
      </c>
      <c r="B69" s="42"/>
      <c r="G69" s="44"/>
      <c r="I69" s="44" t="n">
        <f aca="false">IF(G69="",0,G69*S69)</f>
        <v>0</v>
      </c>
      <c r="J69" s="44"/>
      <c r="K69" s="44" t="n">
        <f aca="false">IF(G69="",0,G69-I69-IF(J69="",0,J69))</f>
        <v>0</v>
      </c>
      <c r="L69" s="44" t="n">
        <f aca="false">IF(O69="",0,IFERROR(INDEX(Purchases!I:I,MATCH(O69*1,Purchases!A:A,0)),0))</f>
        <v>0</v>
      </c>
      <c r="M69" s="44" t="n">
        <f aca="false">IF(G69="",0,K69-L69)</f>
        <v>0</v>
      </c>
      <c r="N69" s="49" t="str">
        <f aca="false">IFERROR(IF(G69="","",M69/G69),"")</f>
        <v/>
      </c>
      <c r="S69" s="49" t="n">
        <f aca="false">IFERROR(VLOOKUP(H69,Settings!B14:C25,2,FALSE()),0)</f>
        <v>0</v>
      </c>
    </row>
    <row r="70" customFormat="false" ht="15" hidden="false" customHeight="false" outlineLevel="0" collapsed="false">
      <c r="A70" s="37" t="str">
        <f aca="false">IF(B70="","",ROW()-3)</f>
        <v/>
      </c>
      <c r="B70" s="38"/>
      <c r="C70" s="39"/>
      <c r="D70" s="39"/>
      <c r="E70" s="39"/>
      <c r="F70" s="39"/>
      <c r="G70" s="40"/>
      <c r="H70" s="39"/>
      <c r="I70" s="40" t="n">
        <f aca="false">IF(G70="",0,G70*S70)</f>
        <v>0</v>
      </c>
      <c r="J70" s="40"/>
      <c r="K70" s="40" t="n">
        <f aca="false">IF(G70="",0,G70-I70-IF(J70="",0,J70))</f>
        <v>0</v>
      </c>
      <c r="L70" s="40" t="n">
        <f aca="false">IF(O70="",0,IFERROR(INDEX(Purchases!I:I,MATCH(O70*1,Purchases!A:A,0)),0))</f>
        <v>0</v>
      </c>
      <c r="M70" s="40" t="n">
        <f aca="false">IF(G70="",0,K70-L70)</f>
        <v>0</v>
      </c>
      <c r="N70" s="48" t="str">
        <f aca="false">IFERROR(IF(G70="","",M70/G70),"")</f>
        <v/>
      </c>
      <c r="O70" s="39"/>
      <c r="P70" s="39"/>
      <c r="Q70" s="39"/>
      <c r="R70" s="39"/>
      <c r="S70" s="48" t="n">
        <f aca="false">IFERROR(VLOOKUP(H70,Settings!B14:C25,2,FALSE()),0)</f>
        <v>0</v>
      </c>
    </row>
    <row r="71" customFormat="false" ht="15" hidden="false" customHeight="false" outlineLevel="0" collapsed="false">
      <c r="A71" s="41" t="str">
        <f aca="false">IF(B71="","",ROW()-3)</f>
        <v/>
      </c>
      <c r="B71" s="42"/>
      <c r="G71" s="44"/>
      <c r="I71" s="44" t="n">
        <f aca="false">IF(G71="",0,G71*S71)</f>
        <v>0</v>
      </c>
      <c r="J71" s="44"/>
      <c r="K71" s="44" t="n">
        <f aca="false">IF(G71="",0,G71-I71-IF(J71="",0,J71))</f>
        <v>0</v>
      </c>
      <c r="L71" s="44" t="n">
        <f aca="false">IF(O71="",0,IFERROR(INDEX(Purchases!I:I,MATCH(O71*1,Purchases!A:A,0)),0))</f>
        <v>0</v>
      </c>
      <c r="M71" s="44" t="n">
        <f aca="false">IF(G71="",0,K71-L71)</f>
        <v>0</v>
      </c>
      <c r="N71" s="49" t="str">
        <f aca="false">IFERROR(IF(G71="","",M71/G71),"")</f>
        <v/>
      </c>
      <c r="S71" s="49" t="n">
        <f aca="false">IFERROR(VLOOKUP(H71,Settings!B14:C25,2,FALSE()),0)</f>
        <v>0</v>
      </c>
    </row>
    <row r="72" customFormat="false" ht="15" hidden="false" customHeight="false" outlineLevel="0" collapsed="false">
      <c r="A72" s="37" t="str">
        <f aca="false">IF(B72="","",ROW()-3)</f>
        <v/>
      </c>
      <c r="B72" s="38"/>
      <c r="C72" s="39"/>
      <c r="D72" s="39"/>
      <c r="E72" s="39"/>
      <c r="F72" s="39"/>
      <c r="G72" s="40"/>
      <c r="H72" s="39"/>
      <c r="I72" s="40" t="n">
        <f aca="false">IF(G72="",0,G72*S72)</f>
        <v>0</v>
      </c>
      <c r="J72" s="40"/>
      <c r="K72" s="40" t="n">
        <f aca="false">IF(G72="",0,G72-I72-IF(J72="",0,J72))</f>
        <v>0</v>
      </c>
      <c r="L72" s="40" t="n">
        <f aca="false">IF(O72="",0,IFERROR(INDEX(Purchases!I:I,MATCH(O72*1,Purchases!A:A,0)),0))</f>
        <v>0</v>
      </c>
      <c r="M72" s="40" t="n">
        <f aca="false">IF(G72="",0,K72-L72)</f>
        <v>0</v>
      </c>
      <c r="N72" s="48" t="str">
        <f aca="false">IFERROR(IF(G72="","",M72/G72),"")</f>
        <v/>
      </c>
      <c r="O72" s="39"/>
      <c r="P72" s="39"/>
      <c r="Q72" s="39"/>
      <c r="R72" s="39"/>
      <c r="S72" s="48" t="n">
        <f aca="false">IFERROR(VLOOKUP(H72,Settings!B14:C25,2,FALSE()),0)</f>
        <v>0</v>
      </c>
    </row>
    <row r="73" customFormat="false" ht="15" hidden="false" customHeight="false" outlineLevel="0" collapsed="false">
      <c r="A73" s="41" t="str">
        <f aca="false">IF(B73="","",ROW()-3)</f>
        <v/>
      </c>
      <c r="B73" s="42"/>
      <c r="G73" s="44"/>
      <c r="I73" s="44" t="n">
        <f aca="false">IF(G73="",0,G73*S73)</f>
        <v>0</v>
      </c>
      <c r="J73" s="44"/>
      <c r="K73" s="44" t="n">
        <f aca="false">IF(G73="",0,G73-I73-IF(J73="",0,J73))</f>
        <v>0</v>
      </c>
      <c r="L73" s="44" t="n">
        <f aca="false">IF(O73="",0,IFERROR(INDEX(Purchases!I:I,MATCH(O73*1,Purchases!A:A,0)),0))</f>
        <v>0</v>
      </c>
      <c r="M73" s="44" t="n">
        <f aca="false">IF(G73="",0,K73-L73)</f>
        <v>0</v>
      </c>
      <c r="N73" s="49" t="str">
        <f aca="false">IFERROR(IF(G73="","",M73/G73),"")</f>
        <v/>
      </c>
      <c r="S73" s="49" t="n">
        <f aca="false">IFERROR(VLOOKUP(H73,Settings!B14:C25,2,FALSE()),0)</f>
        <v>0</v>
      </c>
    </row>
    <row r="74" customFormat="false" ht="15" hidden="false" customHeight="false" outlineLevel="0" collapsed="false">
      <c r="A74" s="37" t="str">
        <f aca="false">IF(B74="","",ROW()-3)</f>
        <v/>
      </c>
      <c r="B74" s="38"/>
      <c r="C74" s="39"/>
      <c r="D74" s="39"/>
      <c r="E74" s="39"/>
      <c r="F74" s="39"/>
      <c r="G74" s="40"/>
      <c r="H74" s="39"/>
      <c r="I74" s="40" t="n">
        <f aca="false">IF(G74="",0,G74*S74)</f>
        <v>0</v>
      </c>
      <c r="J74" s="40"/>
      <c r="K74" s="40" t="n">
        <f aca="false">IF(G74="",0,G74-I74-IF(J74="",0,J74))</f>
        <v>0</v>
      </c>
      <c r="L74" s="40" t="n">
        <f aca="false">IF(O74="",0,IFERROR(INDEX(Purchases!I:I,MATCH(O74*1,Purchases!A:A,0)),0))</f>
        <v>0</v>
      </c>
      <c r="M74" s="40" t="n">
        <f aca="false">IF(G74="",0,K74-L74)</f>
        <v>0</v>
      </c>
      <c r="N74" s="48" t="str">
        <f aca="false">IFERROR(IF(G74="","",M74/G74),"")</f>
        <v/>
      </c>
      <c r="O74" s="39"/>
      <c r="P74" s="39"/>
      <c r="Q74" s="39"/>
      <c r="R74" s="39"/>
      <c r="S74" s="48" t="n">
        <f aca="false">IFERROR(VLOOKUP(H74,Settings!B14:C25,2,FALSE()),0)</f>
        <v>0</v>
      </c>
    </row>
    <row r="75" customFormat="false" ht="15" hidden="false" customHeight="false" outlineLevel="0" collapsed="false">
      <c r="A75" s="41" t="str">
        <f aca="false">IF(B75="","",ROW()-3)</f>
        <v/>
      </c>
      <c r="B75" s="42"/>
      <c r="G75" s="44"/>
      <c r="I75" s="44" t="n">
        <f aca="false">IF(G75="",0,G75*S75)</f>
        <v>0</v>
      </c>
      <c r="J75" s="44"/>
      <c r="K75" s="44" t="n">
        <f aca="false">IF(G75="",0,G75-I75-IF(J75="",0,J75))</f>
        <v>0</v>
      </c>
      <c r="L75" s="44" t="n">
        <f aca="false">IF(O75="",0,IFERROR(INDEX(Purchases!I:I,MATCH(O75*1,Purchases!A:A,0)),0))</f>
        <v>0</v>
      </c>
      <c r="M75" s="44" t="n">
        <f aca="false">IF(G75="",0,K75-L75)</f>
        <v>0</v>
      </c>
      <c r="N75" s="49" t="str">
        <f aca="false">IFERROR(IF(G75="","",M75/G75),"")</f>
        <v/>
      </c>
      <c r="S75" s="49" t="n">
        <f aca="false">IFERROR(VLOOKUP(H75,Settings!B14:C25,2,FALSE()),0)</f>
        <v>0</v>
      </c>
    </row>
    <row r="76" customFormat="false" ht="15" hidden="false" customHeight="false" outlineLevel="0" collapsed="false">
      <c r="A76" s="37" t="str">
        <f aca="false">IF(B76="","",ROW()-3)</f>
        <v/>
      </c>
      <c r="B76" s="38"/>
      <c r="C76" s="39"/>
      <c r="D76" s="39"/>
      <c r="E76" s="39"/>
      <c r="F76" s="39"/>
      <c r="G76" s="40"/>
      <c r="H76" s="39"/>
      <c r="I76" s="40" t="n">
        <f aca="false">IF(G76="",0,G76*S76)</f>
        <v>0</v>
      </c>
      <c r="J76" s="40"/>
      <c r="K76" s="40" t="n">
        <f aca="false">IF(G76="",0,G76-I76-IF(J76="",0,J76))</f>
        <v>0</v>
      </c>
      <c r="L76" s="40" t="n">
        <f aca="false">IF(O76="",0,IFERROR(INDEX(Purchases!I:I,MATCH(O76*1,Purchases!A:A,0)),0))</f>
        <v>0</v>
      </c>
      <c r="M76" s="40" t="n">
        <f aca="false">IF(G76="",0,K76-L76)</f>
        <v>0</v>
      </c>
      <c r="N76" s="48" t="str">
        <f aca="false">IFERROR(IF(G76="","",M76/G76),"")</f>
        <v/>
      </c>
      <c r="O76" s="39"/>
      <c r="P76" s="39"/>
      <c r="Q76" s="39"/>
      <c r="R76" s="39"/>
      <c r="S76" s="48" t="n">
        <f aca="false">IFERROR(VLOOKUP(H76,Settings!B14:C25,2,FALSE()),0)</f>
        <v>0</v>
      </c>
    </row>
    <row r="77" customFormat="false" ht="15" hidden="false" customHeight="false" outlineLevel="0" collapsed="false">
      <c r="A77" s="41" t="str">
        <f aca="false">IF(B77="","",ROW()-3)</f>
        <v/>
      </c>
      <c r="B77" s="42"/>
      <c r="G77" s="44"/>
      <c r="I77" s="44" t="n">
        <f aca="false">IF(G77="",0,G77*S77)</f>
        <v>0</v>
      </c>
      <c r="J77" s="44"/>
      <c r="K77" s="44" t="n">
        <f aca="false">IF(G77="",0,G77-I77-IF(J77="",0,J77))</f>
        <v>0</v>
      </c>
      <c r="L77" s="44" t="n">
        <f aca="false">IF(O77="",0,IFERROR(INDEX(Purchases!I:I,MATCH(O77*1,Purchases!A:A,0)),0))</f>
        <v>0</v>
      </c>
      <c r="M77" s="44" t="n">
        <f aca="false">IF(G77="",0,K77-L77)</f>
        <v>0</v>
      </c>
      <c r="N77" s="49" t="str">
        <f aca="false">IFERROR(IF(G77="","",M77/G77),"")</f>
        <v/>
      </c>
      <c r="S77" s="49" t="n">
        <f aca="false">IFERROR(VLOOKUP(H77,Settings!B14:C25,2,FALSE()),0)</f>
        <v>0</v>
      </c>
    </row>
    <row r="78" customFormat="false" ht="15" hidden="false" customHeight="false" outlineLevel="0" collapsed="false">
      <c r="A78" s="37" t="str">
        <f aca="false">IF(B78="","",ROW()-3)</f>
        <v/>
      </c>
      <c r="B78" s="38"/>
      <c r="C78" s="39"/>
      <c r="D78" s="39"/>
      <c r="E78" s="39"/>
      <c r="F78" s="39"/>
      <c r="G78" s="40"/>
      <c r="H78" s="39"/>
      <c r="I78" s="40" t="n">
        <f aca="false">IF(G78="",0,G78*S78)</f>
        <v>0</v>
      </c>
      <c r="J78" s="40"/>
      <c r="K78" s="40" t="n">
        <f aca="false">IF(G78="",0,G78-I78-IF(J78="",0,J78))</f>
        <v>0</v>
      </c>
      <c r="L78" s="40" t="n">
        <f aca="false">IF(O78="",0,IFERROR(INDEX(Purchases!I:I,MATCH(O78*1,Purchases!A:A,0)),0))</f>
        <v>0</v>
      </c>
      <c r="M78" s="40" t="n">
        <f aca="false">IF(G78="",0,K78-L78)</f>
        <v>0</v>
      </c>
      <c r="N78" s="48" t="str">
        <f aca="false">IFERROR(IF(G78="","",M78/G78),"")</f>
        <v/>
      </c>
      <c r="O78" s="39"/>
      <c r="P78" s="39"/>
      <c r="Q78" s="39"/>
      <c r="R78" s="39"/>
      <c r="S78" s="48" t="n">
        <f aca="false">IFERROR(VLOOKUP(H78,Settings!B14:C25,2,FALSE()),0)</f>
        <v>0</v>
      </c>
    </row>
    <row r="79" customFormat="false" ht="15" hidden="false" customHeight="false" outlineLevel="0" collapsed="false">
      <c r="A79" s="41" t="str">
        <f aca="false">IF(B79="","",ROW()-3)</f>
        <v/>
      </c>
      <c r="B79" s="42"/>
      <c r="G79" s="44"/>
      <c r="I79" s="44" t="n">
        <f aca="false">IF(G79="",0,G79*S79)</f>
        <v>0</v>
      </c>
      <c r="J79" s="44"/>
      <c r="K79" s="44" t="n">
        <f aca="false">IF(G79="",0,G79-I79-IF(J79="",0,J79))</f>
        <v>0</v>
      </c>
      <c r="L79" s="44" t="n">
        <f aca="false">IF(O79="",0,IFERROR(INDEX(Purchases!I:I,MATCH(O79*1,Purchases!A:A,0)),0))</f>
        <v>0</v>
      </c>
      <c r="M79" s="44" t="n">
        <f aca="false">IF(G79="",0,K79-L79)</f>
        <v>0</v>
      </c>
      <c r="N79" s="49" t="str">
        <f aca="false">IFERROR(IF(G79="","",M79/G79),"")</f>
        <v/>
      </c>
      <c r="S79" s="49" t="n">
        <f aca="false">IFERROR(VLOOKUP(H79,Settings!B14:C25,2,FALSE()),0)</f>
        <v>0</v>
      </c>
    </row>
    <row r="80" customFormat="false" ht="15" hidden="false" customHeight="false" outlineLevel="0" collapsed="false">
      <c r="A80" s="37" t="str">
        <f aca="false">IF(B80="","",ROW()-3)</f>
        <v/>
      </c>
      <c r="B80" s="38"/>
      <c r="C80" s="39"/>
      <c r="D80" s="39"/>
      <c r="E80" s="39"/>
      <c r="F80" s="39"/>
      <c r="G80" s="40"/>
      <c r="H80" s="39"/>
      <c r="I80" s="40" t="n">
        <f aca="false">IF(G80="",0,G80*S80)</f>
        <v>0</v>
      </c>
      <c r="J80" s="40"/>
      <c r="K80" s="40" t="n">
        <f aca="false">IF(G80="",0,G80-I80-IF(J80="",0,J80))</f>
        <v>0</v>
      </c>
      <c r="L80" s="40" t="n">
        <f aca="false">IF(O80="",0,IFERROR(INDEX(Purchases!I:I,MATCH(O80*1,Purchases!A:A,0)),0))</f>
        <v>0</v>
      </c>
      <c r="M80" s="40" t="n">
        <f aca="false">IF(G80="",0,K80-L80)</f>
        <v>0</v>
      </c>
      <c r="N80" s="48" t="str">
        <f aca="false">IFERROR(IF(G80="","",M80/G80),"")</f>
        <v/>
      </c>
      <c r="O80" s="39"/>
      <c r="P80" s="39"/>
      <c r="Q80" s="39"/>
      <c r="R80" s="39"/>
      <c r="S80" s="48" t="n">
        <f aca="false">IFERROR(VLOOKUP(H80,Settings!B14:C25,2,FALSE()),0)</f>
        <v>0</v>
      </c>
    </row>
    <row r="81" customFormat="false" ht="15" hidden="false" customHeight="false" outlineLevel="0" collapsed="false">
      <c r="A81" s="41" t="str">
        <f aca="false">IF(B81="","",ROW()-3)</f>
        <v/>
      </c>
      <c r="B81" s="42"/>
      <c r="G81" s="44"/>
      <c r="I81" s="44" t="n">
        <f aca="false">IF(G81="",0,G81*S81)</f>
        <v>0</v>
      </c>
      <c r="J81" s="44"/>
      <c r="K81" s="44" t="n">
        <f aca="false">IF(G81="",0,G81-I81-IF(J81="",0,J81))</f>
        <v>0</v>
      </c>
      <c r="L81" s="44" t="n">
        <f aca="false">IF(O81="",0,IFERROR(INDEX(Purchases!I:I,MATCH(O81*1,Purchases!A:A,0)),0))</f>
        <v>0</v>
      </c>
      <c r="M81" s="44" t="n">
        <f aca="false">IF(G81="",0,K81-L81)</f>
        <v>0</v>
      </c>
      <c r="N81" s="49" t="str">
        <f aca="false">IFERROR(IF(G81="","",M81/G81),"")</f>
        <v/>
      </c>
      <c r="S81" s="49" t="n">
        <f aca="false">IFERROR(VLOOKUP(H81,Settings!B14:C25,2,FALSE()),0)</f>
        <v>0</v>
      </c>
    </row>
    <row r="82" customFormat="false" ht="15" hidden="false" customHeight="false" outlineLevel="0" collapsed="false">
      <c r="A82" s="37" t="str">
        <f aca="false">IF(B82="","",ROW()-3)</f>
        <v/>
      </c>
      <c r="B82" s="38"/>
      <c r="C82" s="39"/>
      <c r="D82" s="39"/>
      <c r="E82" s="39"/>
      <c r="F82" s="39"/>
      <c r="G82" s="40"/>
      <c r="H82" s="39"/>
      <c r="I82" s="40" t="n">
        <f aca="false">IF(G82="",0,G82*S82)</f>
        <v>0</v>
      </c>
      <c r="J82" s="40"/>
      <c r="K82" s="40" t="n">
        <f aca="false">IF(G82="",0,G82-I82-IF(J82="",0,J82))</f>
        <v>0</v>
      </c>
      <c r="L82" s="40" t="n">
        <f aca="false">IF(O82="",0,IFERROR(INDEX(Purchases!I:I,MATCH(O82*1,Purchases!A:A,0)),0))</f>
        <v>0</v>
      </c>
      <c r="M82" s="40" t="n">
        <f aca="false">IF(G82="",0,K82-L82)</f>
        <v>0</v>
      </c>
      <c r="N82" s="48" t="str">
        <f aca="false">IFERROR(IF(G82="","",M82/G82),"")</f>
        <v/>
      </c>
      <c r="O82" s="39"/>
      <c r="P82" s="39"/>
      <c r="Q82" s="39"/>
      <c r="R82" s="39"/>
      <c r="S82" s="48" t="n">
        <f aca="false">IFERROR(VLOOKUP(H82,Settings!B14:C25,2,FALSE()),0)</f>
        <v>0</v>
      </c>
    </row>
    <row r="83" customFormat="false" ht="15" hidden="false" customHeight="false" outlineLevel="0" collapsed="false">
      <c r="A83" s="41" t="str">
        <f aca="false">IF(B83="","",ROW()-3)</f>
        <v/>
      </c>
      <c r="B83" s="42"/>
      <c r="G83" s="44"/>
      <c r="I83" s="44" t="n">
        <f aca="false">IF(G83="",0,G83*S83)</f>
        <v>0</v>
      </c>
      <c r="J83" s="44"/>
      <c r="K83" s="44" t="n">
        <f aca="false">IF(G83="",0,G83-I83-IF(J83="",0,J83))</f>
        <v>0</v>
      </c>
      <c r="L83" s="44" t="n">
        <f aca="false">IF(O83="",0,IFERROR(INDEX(Purchases!I:I,MATCH(O83*1,Purchases!A:A,0)),0))</f>
        <v>0</v>
      </c>
      <c r="M83" s="44" t="n">
        <f aca="false">IF(G83="",0,K83-L83)</f>
        <v>0</v>
      </c>
      <c r="N83" s="49" t="str">
        <f aca="false">IFERROR(IF(G83="","",M83/G83),"")</f>
        <v/>
      </c>
      <c r="S83" s="49" t="n">
        <f aca="false">IFERROR(VLOOKUP(H83,Settings!B14:C25,2,FALSE()),0)</f>
        <v>0</v>
      </c>
    </row>
    <row r="84" customFormat="false" ht="15" hidden="false" customHeight="false" outlineLevel="0" collapsed="false">
      <c r="A84" s="37" t="str">
        <f aca="false">IF(B84="","",ROW()-3)</f>
        <v/>
      </c>
      <c r="B84" s="38"/>
      <c r="C84" s="39"/>
      <c r="D84" s="39"/>
      <c r="E84" s="39"/>
      <c r="F84" s="39"/>
      <c r="G84" s="40"/>
      <c r="H84" s="39"/>
      <c r="I84" s="40" t="n">
        <f aca="false">IF(G84="",0,G84*S84)</f>
        <v>0</v>
      </c>
      <c r="J84" s="40"/>
      <c r="K84" s="40" t="n">
        <f aca="false">IF(G84="",0,G84-I84-IF(J84="",0,J84))</f>
        <v>0</v>
      </c>
      <c r="L84" s="40" t="n">
        <f aca="false">IF(O84="",0,IFERROR(INDEX(Purchases!I:I,MATCH(O84*1,Purchases!A:A,0)),0))</f>
        <v>0</v>
      </c>
      <c r="M84" s="40" t="n">
        <f aca="false">IF(G84="",0,K84-L84)</f>
        <v>0</v>
      </c>
      <c r="N84" s="48" t="str">
        <f aca="false">IFERROR(IF(G84="","",M84/G84),"")</f>
        <v/>
      </c>
      <c r="O84" s="39"/>
      <c r="P84" s="39"/>
      <c r="Q84" s="39"/>
      <c r="R84" s="39"/>
      <c r="S84" s="48" t="n">
        <f aca="false">IFERROR(VLOOKUP(H84,Settings!B14:C25,2,FALSE()),0)</f>
        <v>0</v>
      </c>
    </row>
    <row r="85" customFormat="false" ht="15" hidden="false" customHeight="false" outlineLevel="0" collapsed="false">
      <c r="A85" s="41" t="str">
        <f aca="false">IF(B85="","",ROW()-3)</f>
        <v/>
      </c>
      <c r="B85" s="42"/>
      <c r="G85" s="44"/>
      <c r="I85" s="44" t="n">
        <f aca="false">IF(G85="",0,G85*S85)</f>
        <v>0</v>
      </c>
      <c r="J85" s="44"/>
      <c r="K85" s="44" t="n">
        <f aca="false">IF(G85="",0,G85-I85-IF(J85="",0,J85))</f>
        <v>0</v>
      </c>
      <c r="L85" s="44" t="n">
        <f aca="false">IF(O85="",0,IFERROR(INDEX(Purchases!I:I,MATCH(O85*1,Purchases!A:A,0)),0))</f>
        <v>0</v>
      </c>
      <c r="M85" s="44" t="n">
        <f aca="false">IF(G85="",0,K85-L85)</f>
        <v>0</v>
      </c>
      <c r="N85" s="49" t="str">
        <f aca="false">IFERROR(IF(G85="","",M85/G85),"")</f>
        <v/>
      </c>
      <c r="S85" s="49" t="n">
        <f aca="false">IFERROR(VLOOKUP(H85,Settings!B14:C25,2,FALSE()),0)</f>
        <v>0</v>
      </c>
    </row>
    <row r="86" customFormat="false" ht="15" hidden="false" customHeight="false" outlineLevel="0" collapsed="false">
      <c r="A86" s="37" t="str">
        <f aca="false">IF(B86="","",ROW()-3)</f>
        <v/>
      </c>
      <c r="B86" s="38"/>
      <c r="C86" s="39"/>
      <c r="D86" s="39"/>
      <c r="E86" s="39"/>
      <c r="F86" s="39"/>
      <c r="G86" s="40"/>
      <c r="H86" s="39"/>
      <c r="I86" s="40" t="n">
        <f aca="false">IF(G86="",0,G86*S86)</f>
        <v>0</v>
      </c>
      <c r="J86" s="40"/>
      <c r="K86" s="40" t="n">
        <f aca="false">IF(G86="",0,G86-I86-IF(J86="",0,J86))</f>
        <v>0</v>
      </c>
      <c r="L86" s="40" t="n">
        <f aca="false">IF(O86="",0,IFERROR(INDEX(Purchases!I:I,MATCH(O86*1,Purchases!A:A,0)),0))</f>
        <v>0</v>
      </c>
      <c r="M86" s="40" t="n">
        <f aca="false">IF(G86="",0,K86-L86)</f>
        <v>0</v>
      </c>
      <c r="N86" s="48" t="str">
        <f aca="false">IFERROR(IF(G86="","",M86/G86),"")</f>
        <v/>
      </c>
      <c r="O86" s="39"/>
      <c r="P86" s="39"/>
      <c r="Q86" s="39"/>
      <c r="R86" s="39"/>
      <c r="S86" s="48" t="n">
        <f aca="false">IFERROR(VLOOKUP(H86,Settings!B14:C25,2,FALSE()),0)</f>
        <v>0</v>
      </c>
    </row>
    <row r="87" customFormat="false" ht="15" hidden="false" customHeight="false" outlineLevel="0" collapsed="false">
      <c r="A87" s="41" t="str">
        <f aca="false">IF(B87="","",ROW()-3)</f>
        <v/>
      </c>
      <c r="B87" s="42"/>
      <c r="G87" s="44"/>
      <c r="I87" s="44" t="n">
        <f aca="false">IF(G87="",0,G87*S87)</f>
        <v>0</v>
      </c>
      <c r="J87" s="44"/>
      <c r="K87" s="44" t="n">
        <f aca="false">IF(G87="",0,G87-I87-IF(J87="",0,J87))</f>
        <v>0</v>
      </c>
      <c r="L87" s="44" t="n">
        <f aca="false">IF(O87="",0,IFERROR(INDEX(Purchases!I:I,MATCH(O87*1,Purchases!A:A,0)),0))</f>
        <v>0</v>
      </c>
      <c r="M87" s="44" t="n">
        <f aca="false">IF(G87="",0,K87-L87)</f>
        <v>0</v>
      </c>
      <c r="N87" s="49" t="str">
        <f aca="false">IFERROR(IF(G87="","",M87/G87),"")</f>
        <v/>
      </c>
      <c r="S87" s="49" t="n">
        <f aca="false">IFERROR(VLOOKUP(H87,Settings!B14:C25,2,FALSE()),0)</f>
        <v>0</v>
      </c>
    </row>
    <row r="88" customFormat="false" ht="15" hidden="false" customHeight="false" outlineLevel="0" collapsed="false">
      <c r="A88" s="37" t="str">
        <f aca="false">IF(B88="","",ROW()-3)</f>
        <v/>
      </c>
      <c r="B88" s="38"/>
      <c r="C88" s="39"/>
      <c r="D88" s="39"/>
      <c r="E88" s="39"/>
      <c r="F88" s="39"/>
      <c r="G88" s="40"/>
      <c r="H88" s="39"/>
      <c r="I88" s="40" t="n">
        <f aca="false">IF(G88="",0,G88*S88)</f>
        <v>0</v>
      </c>
      <c r="J88" s="40"/>
      <c r="K88" s="40" t="n">
        <f aca="false">IF(G88="",0,G88-I88-IF(J88="",0,J88))</f>
        <v>0</v>
      </c>
      <c r="L88" s="40" t="n">
        <f aca="false">IF(O88="",0,IFERROR(INDEX(Purchases!I:I,MATCH(O88*1,Purchases!A:A,0)),0))</f>
        <v>0</v>
      </c>
      <c r="M88" s="40" t="n">
        <f aca="false">IF(G88="",0,K88-L88)</f>
        <v>0</v>
      </c>
      <c r="N88" s="48" t="str">
        <f aca="false">IFERROR(IF(G88="","",M88/G88),"")</f>
        <v/>
      </c>
      <c r="O88" s="39"/>
      <c r="P88" s="39"/>
      <c r="Q88" s="39"/>
      <c r="R88" s="39"/>
      <c r="S88" s="48" t="n">
        <f aca="false">IFERROR(VLOOKUP(H88,Settings!B14:C25,2,FALSE()),0)</f>
        <v>0</v>
      </c>
    </row>
    <row r="89" customFormat="false" ht="15" hidden="false" customHeight="false" outlineLevel="0" collapsed="false">
      <c r="A89" s="41" t="str">
        <f aca="false">IF(B89="","",ROW()-3)</f>
        <v/>
      </c>
      <c r="B89" s="42"/>
      <c r="G89" s="44"/>
      <c r="I89" s="44" t="n">
        <f aca="false">IF(G89="",0,G89*S89)</f>
        <v>0</v>
      </c>
      <c r="J89" s="44"/>
      <c r="K89" s="44" t="n">
        <f aca="false">IF(G89="",0,G89-I89-IF(J89="",0,J89))</f>
        <v>0</v>
      </c>
      <c r="L89" s="44" t="n">
        <f aca="false">IF(O89="",0,IFERROR(INDEX(Purchases!I:I,MATCH(O89*1,Purchases!A:A,0)),0))</f>
        <v>0</v>
      </c>
      <c r="M89" s="44" t="n">
        <f aca="false">IF(G89="",0,K89-L89)</f>
        <v>0</v>
      </c>
      <c r="N89" s="49" t="str">
        <f aca="false">IFERROR(IF(G89="","",M89/G89),"")</f>
        <v/>
      </c>
      <c r="S89" s="49" t="n">
        <f aca="false">IFERROR(VLOOKUP(H89,Settings!B14:C25,2,FALSE()),0)</f>
        <v>0</v>
      </c>
    </row>
    <row r="90" customFormat="false" ht="15" hidden="false" customHeight="false" outlineLevel="0" collapsed="false">
      <c r="A90" s="37" t="str">
        <f aca="false">IF(B90="","",ROW()-3)</f>
        <v/>
      </c>
      <c r="B90" s="38"/>
      <c r="C90" s="39"/>
      <c r="D90" s="39"/>
      <c r="E90" s="39"/>
      <c r="F90" s="39"/>
      <c r="G90" s="40"/>
      <c r="H90" s="39"/>
      <c r="I90" s="40" t="n">
        <f aca="false">IF(G90="",0,G90*S90)</f>
        <v>0</v>
      </c>
      <c r="J90" s="40"/>
      <c r="K90" s="40" t="n">
        <f aca="false">IF(G90="",0,G90-I90-IF(J90="",0,J90))</f>
        <v>0</v>
      </c>
      <c r="L90" s="40" t="n">
        <f aca="false">IF(O90="",0,IFERROR(INDEX(Purchases!I:I,MATCH(O90*1,Purchases!A:A,0)),0))</f>
        <v>0</v>
      </c>
      <c r="M90" s="40" t="n">
        <f aca="false">IF(G90="",0,K90-L90)</f>
        <v>0</v>
      </c>
      <c r="N90" s="48" t="str">
        <f aca="false">IFERROR(IF(G90="","",M90/G90),"")</f>
        <v/>
      </c>
      <c r="O90" s="39"/>
      <c r="P90" s="39"/>
      <c r="Q90" s="39"/>
      <c r="R90" s="39"/>
      <c r="S90" s="48" t="n">
        <f aca="false">IFERROR(VLOOKUP(H90,Settings!B14:C25,2,FALSE()),0)</f>
        <v>0</v>
      </c>
    </row>
    <row r="91" customFormat="false" ht="15" hidden="false" customHeight="false" outlineLevel="0" collapsed="false">
      <c r="A91" s="41" t="str">
        <f aca="false">IF(B91="","",ROW()-3)</f>
        <v/>
      </c>
      <c r="B91" s="42"/>
      <c r="G91" s="44"/>
      <c r="I91" s="44" t="n">
        <f aca="false">IF(G91="",0,G91*S91)</f>
        <v>0</v>
      </c>
      <c r="J91" s="44"/>
      <c r="K91" s="44" t="n">
        <f aca="false">IF(G91="",0,G91-I91-IF(J91="",0,J91))</f>
        <v>0</v>
      </c>
      <c r="L91" s="44" t="n">
        <f aca="false">IF(O91="",0,IFERROR(INDEX(Purchases!I:I,MATCH(O91*1,Purchases!A:A,0)),0))</f>
        <v>0</v>
      </c>
      <c r="M91" s="44" t="n">
        <f aca="false">IF(G91="",0,K91-L91)</f>
        <v>0</v>
      </c>
      <c r="N91" s="49" t="str">
        <f aca="false">IFERROR(IF(G91="","",M91/G91),"")</f>
        <v/>
      </c>
      <c r="S91" s="49" t="n">
        <f aca="false">IFERROR(VLOOKUP(H91,Settings!B14:C25,2,FALSE()),0)</f>
        <v>0</v>
      </c>
    </row>
    <row r="92" customFormat="false" ht="15" hidden="false" customHeight="false" outlineLevel="0" collapsed="false">
      <c r="A92" s="37" t="str">
        <f aca="false">IF(B92="","",ROW()-3)</f>
        <v/>
      </c>
      <c r="B92" s="38"/>
      <c r="C92" s="39"/>
      <c r="D92" s="39"/>
      <c r="E92" s="39"/>
      <c r="F92" s="39"/>
      <c r="G92" s="40"/>
      <c r="H92" s="39"/>
      <c r="I92" s="40" t="n">
        <f aca="false">IF(G92="",0,G92*S92)</f>
        <v>0</v>
      </c>
      <c r="J92" s="40"/>
      <c r="K92" s="40" t="n">
        <f aca="false">IF(G92="",0,G92-I92-IF(J92="",0,J92))</f>
        <v>0</v>
      </c>
      <c r="L92" s="40" t="n">
        <f aca="false">IF(O92="",0,IFERROR(INDEX(Purchases!I:I,MATCH(O92*1,Purchases!A:A,0)),0))</f>
        <v>0</v>
      </c>
      <c r="M92" s="40" t="n">
        <f aca="false">IF(G92="",0,K92-L92)</f>
        <v>0</v>
      </c>
      <c r="N92" s="48" t="str">
        <f aca="false">IFERROR(IF(G92="","",M92/G92),"")</f>
        <v/>
      </c>
      <c r="O92" s="39"/>
      <c r="P92" s="39"/>
      <c r="Q92" s="39"/>
      <c r="R92" s="39"/>
      <c r="S92" s="48" t="n">
        <f aca="false">IFERROR(VLOOKUP(H92,Settings!B14:C25,2,FALSE()),0)</f>
        <v>0</v>
      </c>
    </row>
    <row r="93" customFormat="false" ht="15" hidden="false" customHeight="false" outlineLevel="0" collapsed="false">
      <c r="A93" s="41" t="str">
        <f aca="false">IF(B93="","",ROW()-3)</f>
        <v/>
      </c>
      <c r="B93" s="42"/>
      <c r="G93" s="44"/>
      <c r="I93" s="44" t="n">
        <f aca="false">IF(G93="",0,G93*S93)</f>
        <v>0</v>
      </c>
      <c r="J93" s="44"/>
      <c r="K93" s="44" t="n">
        <f aca="false">IF(G93="",0,G93-I93-IF(J93="",0,J93))</f>
        <v>0</v>
      </c>
      <c r="L93" s="44" t="n">
        <f aca="false">IF(O93="",0,IFERROR(INDEX(Purchases!I:I,MATCH(O93*1,Purchases!A:A,0)),0))</f>
        <v>0</v>
      </c>
      <c r="M93" s="44" t="n">
        <f aca="false">IF(G93="",0,K93-L93)</f>
        <v>0</v>
      </c>
      <c r="N93" s="49" t="str">
        <f aca="false">IFERROR(IF(G93="","",M93/G93),"")</f>
        <v/>
      </c>
      <c r="S93" s="49" t="n">
        <f aca="false">IFERROR(VLOOKUP(H93,Settings!B14:C25,2,FALSE()),0)</f>
        <v>0</v>
      </c>
    </row>
    <row r="94" customFormat="false" ht="15" hidden="false" customHeight="false" outlineLevel="0" collapsed="false">
      <c r="A94" s="37" t="str">
        <f aca="false">IF(B94="","",ROW()-3)</f>
        <v/>
      </c>
      <c r="B94" s="38"/>
      <c r="C94" s="39"/>
      <c r="D94" s="39"/>
      <c r="E94" s="39"/>
      <c r="F94" s="39"/>
      <c r="G94" s="40"/>
      <c r="H94" s="39"/>
      <c r="I94" s="40" t="n">
        <f aca="false">IF(G94="",0,G94*S94)</f>
        <v>0</v>
      </c>
      <c r="J94" s="40"/>
      <c r="K94" s="40" t="n">
        <f aca="false">IF(G94="",0,G94-I94-IF(J94="",0,J94))</f>
        <v>0</v>
      </c>
      <c r="L94" s="40" t="n">
        <f aca="false">IF(O94="",0,IFERROR(INDEX(Purchases!I:I,MATCH(O94*1,Purchases!A:A,0)),0))</f>
        <v>0</v>
      </c>
      <c r="M94" s="40" t="n">
        <f aca="false">IF(G94="",0,K94-L94)</f>
        <v>0</v>
      </c>
      <c r="N94" s="48" t="str">
        <f aca="false">IFERROR(IF(G94="","",M94/G94),"")</f>
        <v/>
      </c>
      <c r="O94" s="39"/>
      <c r="P94" s="39"/>
      <c r="Q94" s="39"/>
      <c r="R94" s="39"/>
      <c r="S94" s="48" t="n">
        <f aca="false">IFERROR(VLOOKUP(H94,Settings!B14:C25,2,FALSE()),0)</f>
        <v>0</v>
      </c>
    </row>
    <row r="95" customFormat="false" ht="15" hidden="false" customHeight="false" outlineLevel="0" collapsed="false">
      <c r="A95" s="41" t="str">
        <f aca="false">IF(B95="","",ROW()-3)</f>
        <v/>
      </c>
      <c r="B95" s="42"/>
      <c r="G95" s="44"/>
      <c r="I95" s="44" t="n">
        <f aca="false">IF(G95="",0,G95*S95)</f>
        <v>0</v>
      </c>
      <c r="J95" s="44"/>
      <c r="K95" s="44" t="n">
        <f aca="false">IF(G95="",0,G95-I95-IF(J95="",0,J95))</f>
        <v>0</v>
      </c>
      <c r="L95" s="44" t="n">
        <f aca="false">IF(O95="",0,IFERROR(INDEX(Purchases!I:I,MATCH(O95*1,Purchases!A:A,0)),0))</f>
        <v>0</v>
      </c>
      <c r="M95" s="44" t="n">
        <f aca="false">IF(G95="",0,K95-L95)</f>
        <v>0</v>
      </c>
      <c r="N95" s="49" t="str">
        <f aca="false">IFERROR(IF(G95="","",M95/G95),"")</f>
        <v/>
      </c>
      <c r="S95" s="49" t="n">
        <f aca="false">IFERROR(VLOOKUP(H95,Settings!B14:C25,2,FALSE()),0)</f>
        <v>0</v>
      </c>
    </row>
    <row r="96" customFormat="false" ht="15" hidden="false" customHeight="false" outlineLevel="0" collapsed="false">
      <c r="A96" s="37" t="str">
        <f aca="false">IF(B96="","",ROW()-3)</f>
        <v/>
      </c>
      <c r="B96" s="38"/>
      <c r="C96" s="39"/>
      <c r="D96" s="39"/>
      <c r="E96" s="39"/>
      <c r="F96" s="39"/>
      <c r="G96" s="40"/>
      <c r="H96" s="39"/>
      <c r="I96" s="40" t="n">
        <f aca="false">IF(G96="",0,G96*S96)</f>
        <v>0</v>
      </c>
      <c r="J96" s="40"/>
      <c r="K96" s="40" t="n">
        <f aca="false">IF(G96="",0,G96-I96-IF(J96="",0,J96))</f>
        <v>0</v>
      </c>
      <c r="L96" s="40" t="n">
        <f aca="false">IF(O96="",0,IFERROR(INDEX(Purchases!I:I,MATCH(O96*1,Purchases!A:A,0)),0))</f>
        <v>0</v>
      </c>
      <c r="M96" s="40" t="n">
        <f aca="false">IF(G96="",0,K96-L96)</f>
        <v>0</v>
      </c>
      <c r="N96" s="48" t="str">
        <f aca="false">IFERROR(IF(G96="","",M96/G96),"")</f>
        <v/>
      </c>
      <c r="O96" s="39"/>
      <c r="P96" s="39"/>
      <c r="Q96" s="39"/>
      <c r="R96" s="39"/>
      <c r="S96" s="48" t="n">
        <f aca="false">IFERROR(VLOOKUP(H96,Settings!B14:C25,2,FALSE()),0)</f>
        <v>0</v>
      </c>
    </row>
    <row r="97" customFormat="false" ht="15" hidden="false" customHeight="false" outlineLevel="0" collapsed="false">
      <c r="A97" s="41" t="str">
        <f aca="false">IF(B97="","",ROW()-3)</f>
        <v/>
      </c>
      <c r="B97" s="42"/>
      <c r="G97" s="44"/>
      <c r="I97" s="44" t="n">
        <f aca="false">IF(G97="",0,G97*S97)</f>
        <v>0</v>
      </c>
      <c r="J97" s="44"/>
      <c r="K97" s="44" t="n">
        <f aca="false">IF(G97="",0,G97-I97-IF(J97="",0,J97))</f>
        <v>0</v>
      </c>
      <c r="L97" s="44" t="n">
        <f aca="false">IF(O97="",0,IFERROR(INDEX(Purchases!I:I,MATCH(O97*1,Purchases!A:A,0)),0))</f>
        <v>0</v>
      </c>
      <c r="M97" s="44" t="n">
        <f aca="false">IF(G97="",0,K97-L97)</f>
        <v>0</v>
      </c>
      <c r="N97" s="49" t="str">
        <f aca="false">IFERROR(IF(G97="","",M97/G97),"")</f>
        <v/>
      </c>
      <c r="S97" s="49" t="n">
        <f aca="false">IFERROR(VLOOKUP(H97,Settings!B14:C25,2,FALSE()),0)</f>
        <v>0</v>
      </c>
    </row>
    <row r="98" customFormat="false" ht="15" hidden="false" customHeight="false" outlineLevel="0" collapsed="false">
      <c r="A98" s="37" t="str">
        <f aca="false">IF(B98="","",ROW()-3)</f>
        <v/>
      </c>
      <c r="B98" s="38"/>
      <c r="C98" s="39"/>
      <c r="D98" s="39"/>
      <c r="E98" s="39"/>
      <c r="F98" s="39"/>
      <c r="G98" s="40"/>
      <c r="H98" s="39"/>
      <c r="I98" s="40" t="n">
        <f aca="false">IF(G98="",0,G98*S98)</f>
        <v>0</v>
      </c>
      <c r="J98" s="40"/>
      <c r="K98" s="40" t="n">
        <f aca="false">IF(G98="",0,G98-I98-IF(J98="",0,J98))</f>
        <v>0</v>
      </c>
      <c r="L98" s="40" t="n">
        <f aca="false">IF(O98="",0,IFERROR(INDEX(Purchases!I:I,MATCH(O98*1,Purchases!A:A,0)),0))</f>
        <v>0</v>
      </c>
      <c r="M98" s="40" t="n">
        <f aca="false">IF(G98="",0,K98-L98)</f>
        <v>0</v>
      </c>
      <c r="N98" s="48" t="str">
        <f aca="false">IFERROR(IF(G98="","",M98/G98),"")</f>
        <v/>
      </c>
      <c r="O98" s="39"/>
      <c r="P98" s="39"/>
      <c r="Q98" s="39"/>
      <c r="R98" s="39"/>
      <c r="S98" s="48" t="n">
        <f aca="false">IFERROR(VLOOKUP(H98,Settings!B14:C25,2,FALSE()),0)</f>
        <v>0</v>
      </c>
    </row>
    <row r="99" customFormat="false" ht="15" hidden="false" customHeight="false" outlineLevel="0" collapsed="false">
      <c r="A99" s="41" t="str">
        <f aca="false">IF(B99="","",ROW()-3)</f>
        <v/>
      </c>
      <c r="B99" s="42"/>
      <c r="G99" s="44"/>
      <c r="I99" s="44" t="n">
        <f aca="false">IF(G99="",0,G99*S99)</f>
        <v>0</v>
      </c>
      <c r="J99" s="44"/>
      <c r="K99" s="44" t="n">
        <f aca="false">IF(G99="",0,G99-I99-IF(J99="",0,J99))</f>
        <v>0</v>
      </c>
      <c r="L99" s="44" t="n">
        <f aca="false">IF(O99="",0,IFERROR(INDEX(Purchases!I:I,MATCH(O99*1,Purchases!A:A,0)),0))</f>
        <v>0</v>
      </c>
      <c r="M99" s="44" t="n">
        <f aca="false">IF(G99="",0,K99-L99)</f>
        <v>0</v>
      </c>
      <c r="N99" s="49" t="str">
        <f aca="false">IFERROR(IF(G99="","",M99/G99),"")</f>
        <v/>
      </c>
      <c r="S99" s="49" t="n">
        <f aca="false">IFERROR(VLOOKUP(H99,Settings!B14:C25,2,FALSE()),0)</f>
        <v>0</v>
      </c>
    </row>
    <row r="100" customFormat="false" ht="15" hidden="false" customHeight="false" outlineLevel="0" collapsed="false">
      <c r="A100" s="37" t="str">
        <f aca="false">IF(B100="","",ROW()-3)</f>
        <v/>
      </c>
      <c r="B100" s="38"/>
      <c r="C100" s="39"/>
      <c r="D100" s="39"/>
      <c r="E100" s="39"/>
      <c r="F100" s="39"/>
      <c r="G100" s="40"/>
      <c r="H100" s="39"/>
      <c r="I100" s="40" t="n">
        <f aca="false">IF(G100="",0,G100*S100)</f>
        <v>0</v>
      </c>
      <c r="J100" s="40"/>
      <c r="K100" s="40" t="n">
        <f aca="false">IF(G100="",0,G100-I100-IF(J100="",0,J100))</f>
        <v>0</v>
      </c>
      <c r="L100" s="40" t="n">
        <f aca="false">IF(O100="",0,IFERROR(INDEX(Purchases!I:I,MATCH(O100*1,Purchases!A:A,0)),0))</f>
        <v>0</v>
      </c>
      <c r="M100" s="40" t="n">
        <f aca="false">IF(G100="",0,K100-L100)</f>
        <v>0</v>
      </c>
      <c r="N100" s="48" t="str">
        <f aca="false">IFERROR(IF(G100="","",M100/G100),"")</f>
        <v/>
      </c>
      <c r="O100" s="39"/>
      <c r="P100" s="39"/>
      <c r="Q100" s="39"/>
      <c r="R100" s="39"/>
      <c r="S100" s="48" t="n">
        <f aca="false">IFERROR(VLOOKUP(H100,Settings!B14:C25,2,FALSE()),0)</f>
        <v>0</v>
      </c>
    </row>
    <row r="101" customFormat="false" ht="15" hidden="false" customHeight="false" outlineLevel="0" collapsed="false">
      <c r="A101" s="41" t="str">
        <f aca="false">IF(B101="","",ROW()-3)</f>
        <v/>
      </c>
      <c r="B101" s="42"/>
      <c r="G101" s="44"/>
      <c r="I101" s="44" t="n">
        <f aca="false">IF(G101="",0,G101*S101)</f>
        <v>0</v>
      </c>
      <c r="J101" s="44"/>
      <c r="K101" s="44" t="n">
        <f aca="false">IF(G101="",0,G101-I101-IF(J101="",0,J101))</f>
        <v>0</v>
      </c>
      <c r="L101" s="44" t="n">
        <f aca="false">IF(O101="",0,IFERROR(INDEX(Purchases!I:I,MATCH(O101*1,Purchases!A:A,0)),0))</f>
        <v>0</v>
      </c>
      <c r="M101" s="44" t="n">
        <f aca="false">IF(G101="",0,K101-L101)</f>
        <v>0</v>
      </c>
      <c r="N101" s="49" t="str">
        <f aca="false">IFERROR(IF(G101="","",M101/G101),"")</f>
        <v/>
      </c>
      <c r="S101" s="49" t="n">
        <f aca="false">IFERROR(VLOOKUP(H101,Settings!B14:C25,2,FALSE()),0)</f>
        <v>0</v>
      </c>
    </row>
    <row r="102" customFormat="false" ht="15" hidden="false" customHeight="false" outlineLevel="0" collapsed="false">
      <c r="A102" s="37" t="str">
        <f aca="false">IF(B102="","",ROW()-3)</f>
        <v/>
      </c>
      <c r="B102" s="38"/>
      <c r="C102" s="39"/>
      <c r="D102" s="39"/>
      <c r="E102" s="39"/>
      <c r="F102" s="39"/>
      <c r="G102" s="40"/>
      <c r="H102" s="39"/>
      <c r="I102" s="40" t="n">
        <f aca="false">IF(G102="",0,G102*S102)</f>
        <v>0</v>
      </c>
      <c r="J102" s="40"/>
      <c r="K102" s="40" t="n">
        <f aca="false">IF(G102="",0,G102-I102-IF(J102="",0,J102))</f>
        <v>0</v>
      </c>
      <c r="L102" s="40" t="n">
        <f aca="false">IF(O102="",0,IFERROR(INDEX(Purchases!I:I,MATCH(O102*1,Purchases!A:A,0)),0))</f>
        <v>0</v>
      </c>
      <c r="M102" s="40" t="n">
        <f aca="false">IF(G102="",0,K102-L102)</f>
        <v>0</v>
      </c>
      <c r="N102" s="48" t="str">
        <f aca="false">IFERROR(IF(G102="","",M102/G102),"")</f>
        <v/>
      </c>
      <c r="O102" s="39"/>
      <c r="P102" s="39"/>
      <c r="Q102" s="39"/>
      <c r="R102" s="39"/>
      <c r="S102" s="48" t="n">
        <f aca="false">IFERROR(VLOOKUP(H102,Settings!B14:C25,2,FALSE()),0)</f>
        <v>0</v>
      </c>
    </row>
    <row r="103" customFormat="false" ht="15" hidden="false" customHeight="false" outlineLevel="0" collapsed="false">
      <c r="A103" s="41" t="str">
        <f aca="false">IF(B103="","",ROW()-3)</f>
        <v/>
      </c>
      <c r="B103" s="42"/>
      <c r="G103" s="44"/>
      <c r="I103" s="44" t="n">
        <f aca="false">IF(G103="",0,G103*S103)</f>
        <v>0</v>
      </c>
      <c r="J103" s="44"/>
      <c r="K103" s="44" t="n">
        <f aca="false">IF(G103="",0,G103-I103-IF(J103="",0,J103))</f>
        <v>0</v>
      </c>
      <c r="L103" s="44" t="n">
        <f aca="false">IF(O103="",0,IFERROR(INDEX(Purchases!I:I,MATCH(O103*1,Purchases!A:A,0)),0))</f>
        <v>0</v>
      </c>
      <c r="M103" s="44" t="n">
        <f aca="false">IF(G103="",0,K103-L103)</f>
        <v>0</v>
      </c>
      <c r="N103" s="49" t="str">
        <f aca="false">IFERROR(IF(G103="","",M103/G103),"")</f>
        <v/>
      </c>
      <c r="S103" s="49" t="n">
        <f aca="false">IFERROR(VLOOKUP(H103,Settings!B14:C25,2,FALSE()),0)</f>
        <v>0</v>
      </c>
    </row>
    <row r="104" customFormat="false" ht="15" hidden="false" customHeight="false" outlineLevel="0" collapsed="false">
      <c r="A104" s="37" t="str">
        <f aca="false">IF(B104="","",ROW()-3)</f>
        <v/>
      </c>
      <c r="B104" s="38"/>
      <c r="C104" s="39"/>
      <c r="D104" s="39"/>
      <c r="E104" s="39"/>
      <c r="F104" s="39"/>
      <c r="G104" s="40"/>
      <c r="H104" s="39"/>
      <c r="I104" s="40" t="n">
        <f aca="false">IF(G104="",0,G104*S104)</f>
        <v>0</v>
      </c>
      <c r="J104" s="40"/>
      <c r="K104" s="40" t="n">
        <f aca="false">IF(G104="",0,G104-I104-IF(J104="",0,J104))</f>
        <v>0</v>
      </c>
      <c r="L104" s="40" t="n">
        <f aca="false">IF(O104="",0,IFERROR(INDEX(Purchases!I:I,MATCH(O104*1,Purchases!A:A,0)),0))</f>
        <v>0</v>
      </c>
      <c r="M104" s="40" t="n">
        <f aca="false">IF(G104="",0,K104-L104)</f>
        <v>0</v>
      </c>
      <c r="N104" s="48" t="str">
        <f aca="false">IFERROR(IF(G104="","",M104/G104),"")</f>
        <v/>
      </c>
      <c r="O104" s="39"/>
      <c r="P104" s="39"/>
      <c r="Q104" s="39"/>
      <c r="R104" s="39"/>
      <c r="S104" s="48" t="n">
        <f aca="false">IFERROR(VLOOKUP(H104,Settings!B14:C25,2,FALSE()),0)</f>
        <v>0</v>
      </c>
    </row>
    <row r="105" customFormat="false" ht="15" hidden="false" customHeight="false" outlineLevel="0" collapsed="false">
      <c r="A105" s="41" t="str">
        <f aca="false">IF(B105="","",ROW()-3)</f>
        <v/>
      </c>
      <c r="B105" s="42"/>
      <c r="G105" s="44"/>
      <c r="I105" s="44" t="n">
        <f aca="false">IF(G105="",0,G105*S105)</f>
        <v>0</v>
      </c>
      <c r="J105" s="44"/>
      <c r="K105" s="44" t="n">
        <f aca="false">IF(G105="",0,G105-I105-IF(J105="",0,J105))</f>
        <v>0</v>
      </c>
      <c r="L105" s="44" t="n">
        <f aca="false">IF(O105="",0,IFERROR(INDEX(Purchases!I:I,MATCH(O105*1,Purchases!A:A,0)),0))</f>
        <v>0</v>
      </c>
      <c r="M105" s="44" t="n">
        <f aca="false">IF(G105="",0,K105-L105)</f>
        <v>0</v>
      </c>
      <c r="N105" s="49" t="str">
        <f aca="false">IFERROR(IF(G105="","",M105/G105),"")</f>
        <v/>
      </c>
      <c r="S105" s="49" t="n">
        <f aca="false">IFERROR(VLOOKUP(H105,Settings!B14:C25,2,FALSE()),0)</f>
        <v>0</v>
      </c>
    </row>
    <row r="106" customFormat="false" ht="15" hidden="false" customHeight="false" outlineLevel="0" collapsed="false">
      <c r="A106" s="37" t="str">
        <f aca="false">IF(B106="","",ROW()-3)</f>
        <v/>
      </c>
      <c r="B106" s="38"/>
      <c r="C106" s="39"/>
      <c r="D106" s="39"/>
      <c r="E106" s="39"/>
      <c r="F106" s="39"/>
      <c r="G106" s="40"/>
      <c r="H106" s="39"/>
      <c r="I106" s="40" t="n">
        <f aca="false">IF(G106="",0,G106*S106)</f>
        <v>0</v>
      </c>
      <c r="J106" s="40"/>
      <c r="K106" s="40" t="n">
        <f aca="false">IF(G106="",0,G106-I106-IF(J106="",0,J106))</f>
        <v>0</v>
      </c>
      <c r="L106" s="40" t="n">
        <f aca="false">IF(O106="",0,IFERROR(INDEX(Purchases!I:I,MATCH(O106*1,Purchases!A:A,0)),0))</f>
        <v>0</v>
      </c>
      <c r="M106" s="40" t="n">
        <f aca="false">IF(G106="",0,K106-L106)</f>
        <v>0</v>
      </c>
      <c r="N106" s="48" t="str">
        <f aca="false">IFERROR(IF(G106="","",M106/G106),"")</f>
        <v/>
      </c>
      <c r="O106" s="39"/>
      <c r="P106" s="39"/>
      <c r="Q106" s="39"/>
      <c r="R106" s="39"/>
      <c r="S106" s="48" t="n">
        <f aca="false">IFERROR(VLOOKUP(H106,Settings!B14:C25,2,FALSE()),0)</f>
        <v>0</v>
      </c>
    </row>
    <row r="107" customFormat="false" ht="15" hidden="false" customHeight="false" outlineLevel="0" collapsed="false">
      <c r="A107" s="41" t="str">
        <f aca="false">IF(B107="","",ROW()-3)</f>
        <v/>
      </c>
      <c r="B107" s="42"/>
      <c r="G107" s="44"/>
      <c r="I107" s="44" t="n">
        <f aca="false">IF(G107="",0,G107*S107)</f>
        <v>0</v>
      </c>
      <c r="J107" s="44"/>
      <c r="K107" s="44" t="n">
        <f aca="false">IF(G107="",0,G107-I107-IF(J107="",0,J107))</f>
        <v>0</v>
      </c>
      <c r="L107" s="44" t="n">
        <f aca="false">IF(O107="",0,IFERROR(INDEX(Purchases!I:I,MATCH(O107*1,Purchases!A:A,0)),0))</f>
        <v>0</v>
      </c>
      <c r="M107" s="44" t="n">
        <f aca="false">IF(G107="",0,K107-L107)</f>
        <v>0</v>
      </c>
      <c r="N107" s="49" t="str">
        <f aca="false">IFERROR(IF(G107="","",M107/G107),"")</f>
        <v/>
      </c>
      <c r="S107" s="49" t="n">
        <f aca="false">IFERROR(VLOOKUP(H107,Settings!B14:C25,2,FALSE()),0)</f>
        <v>0</v>
      </c>
    </row>
    <row r="108" customFormat="false" ht="15" hidden="false" customHeight="false" outlineLevel="0" collapsed="false">
      <c r="A108" s="37" t="str">
        <f aca="false">IF(B108="","",ROW()-3)</f>
        <v/>
      </c>
      <c r="B108" s="38"/>
      <c r="C108" s="39"/>
      <c r="D108" s="39"/>
      <c r="E108" s="39"/>
      <c r="F108" s="39"/>
      <c r="G108" s="40"/>
      <c r="H108" s="39"/>
      <c r="I108" s="40" t="n">
        <f aca="false">IF(G108="",0,G108*S108)</f>
        <v>0</v>
      </c>
      <c r="J108" s="40"/>
      <c r="K108" s="40" t="n">
        <f aca="false">IF(G108="",0,G108-I108-IF(J108="",0,J108))</f>
        <v>0</v>
      </c>
      <c r="L108" s="40" t="n">
        <f aca="false">IF(O108="",0,IFERROR(INDEX(Purchases!I:I,MATCH(O108*1,Purchases!A:A,0)),0))</f>
        <v>0</v>
      </c>
      <c r="M108" s="40" t="n">
        <f aca="false">IF(G108="",0,K108-L108)</f>
        <v>0</v>
      </c>
      <c r="N108" s="48" t="str">
        <f aca="false">IFERROR(IF(G108="","",M108/G108),"")</f>
        <v/>
      </c>
      <c r="O108" s="39"/>
      <c r="P108" s="39"/>
      <c r="Q108" s="39"/>
      <c r="R108" s="39"/>
      <c r="S108" s="48" t="n">
        <f aca="false">IFERROR(VLOOKUP(H108,Settings!B14:C25,2,FALSE()),0)</f>
        <v>0</v>
      </c>
    </row>
    <row r="109" customFormat="false" ht="15" hidden="false" customHeight="false" outlineLevel="0" collapsed="false">
      <c r="A109" s="41" t="str">
        <f aca="false">IF(B109="","",ROW()-3)</f>
        <v/>
      </c>
      <c r="B109" s="42"/>
      <c r="G109" s="44"/>
      <c r="I109" s="44" t="n">
        <f aca="false">IF(G109="",0,G109*S109)</f>
        <v>0</v>
      </c>
      <c r="J109" s="44"/>
      <c r="K109" s="44" t="n">
        <f aca="false">IF(G109="",0,G109-I109-IF(J109="",0,J109))</f>
        <v>0</v>
      </c>
      <c r="L109" s="44" t="n">
        <f aca="false">IF(O109="",0,IFERROR(INDEX(Purchases!I:I,MATCH(O109*1,Purchases!A:A,0)),0))</f>
        <v>0</v>
      </c>
      <c r="M109" s="44" t="n">
        <f aca="false">IF(G109="",0,K109-L109)</f>
        <v>0</v>
      </c>
      <c r="N109" s="49" t="str">
        <f aca="false">IFERROR(IF(G109="","",M109/G109),"")</f>
        <v/>
      </c>
      <c r="S109" s="49" t="n">
        <f aca="false">IFERROR(VLOOKUP(H109,Settings!B14:C25,2,FALSE()),0)</f>
        <v>0</v>
      </c>
    </row>
    <row r="110" customFormat="false" ht="15" hidden="false" customHeight="false" outlineLevel="0" collapsed="false">
      <c r="A110" s="37" t="str">
        <f aca="false">IF(B110="","",ROW()-3)</f>
        <v/>
      </c>
      <c r="B110" s="38"/>
      <c r="C110" s="39"/>
      <c r="D110" s="39"/>
      <c r="E110" s="39"/>
      <c r="F110" s="39"/>
      <c r="G110" s="40"/>
      <c r="H110" s="39"/>
      <c r="I110" s="40" t="n">
        <f aca="false">IF(G110="",0,G110*S110)</f>
        <v>0</v>
      </c>
      <c r="J110" s="40"/>
      <c r="K110" s="40" t="n">
        <f aca="false">IF(G110="",0,G110-I110-IF(J110="",0,J110))</f>
        <v>0</v>
      </c>
      <c r="L110" s="40" t="n">
        <f aca="false">IF(O110="",0,IFERROR(INDEX(Purchases!I:I,MATCH(O110*1,Purchases!A:A,0)),0))</f>
        <v>0</v>
      </c>
      <c r="M110" s="40" t="n">
        <f aca="false">IF(G110="",0,K110-L110)</f>
        <v>0</v>
      </c>
      <c r="N110" s="48" t="str">
        <f aca="false">IFERROR(IF(G110="","",M110/G110),"")</f>
        <v/>
      </c>
      <c r="O110" s="39"/>
      <c r="P110" s="39"/>
      <c r="Q110" s="39"/>
      <c r="R110" s="39"/>
      <c r="S110" s="48" t="n">
        <f aca="false">IFERROR(VLOOKUP(H110,Settings!B14:C25,2,FALSE()),0)</f>
        <v>0</v>
      </c>
    </row>
    <row r="111" customFormat="false" ht="15" hidden="false" customHeight="false" outlineLevel="0" collapsed="false">
      <c r="A111" s="41" t="str">
        <f aca="false">IF(B111="","",ROW()-3)</f>
        <v/>
      </c>
      <c r="B111" s="42"/>
      <c r="G111" s="44"/>
      <c r="I111" s="44" t="n">
        <f aca="false">IF(G111="",0,G111*S111)</f>
        <v>0</v>
      </c>
      <c r="J111" s="44"/>
      <c r="K111" s="44" t="n">
        <f aca="false">IF(G111="",0,G111-I111-IF(J111="",0,J111))</f>
        <v>0</v>
      </c>
      <c r="L111" s="44" t="n">
        <f aca="false">IF(O111="",0,IFERROR(INDEX(Purchases!I:I,MATCH(O111*1,Purchases!A:A,0)),0))</f>
        <v>0</v>
      </c>
      <c r="M111" s="44" t="n">
        <f aca="false">IF(G111="",0,K111-L111)</f>
        <v>0</v>
      </c>
      <c r="N111" s="49" t="str">
        <f aca="false">IFERROR(IF(G111="","",M111/G111),"")</f>
        <v/>
      </c>
      <c r="S111" s="49" t="n">
        <f aca="false">IFERROR(VLOOKUP(H111,Settings!B14:C25,2,FALSE()),0)</f>
        <v>0</v>
      </c>
    </row>
    <row r="112" customFormat="false" ht="15" hidden="false" customHeight="false" outlineLevel="0" collapsed="false">
      <c r="A112" s="37" t="str">
        <f aca="false">IF(B112="","",ROW()-3)</f>
        <v/>
      </c>
      <c r="B112" s="38"/>
      <c r="C112" s="39"/>
      <c r="D112" s="39"/>
      <c r="E112" s="39"/>
      <c r="F112" s="39"/>
      <c r="G112" s="40"/>
      <c r="H112" s="39"/>
      <c r="I112" s="40" t="n">
        <f aca="false">IF(G112="",0,G112*S112)</f>
        <v>0</v>
      </c>
      <c r="J112" s="40"/>
      <c r="K112" s="40" t="n">
        <f aca="false">IF(G112="",0,G112-I112-IF(J112="",0,J112))</f>
        <v>0</v>
      </c>
      <c r="L112" s="40" t="n">
        <f aca="false">IF(O112="",0,IFERROR(INDEX(Purchases!I:I,MATCH(O112*1,Purchases!A:A,0)),0))</f>
        <v>0</v>
      </c>
      <c r="M112" s="40" t="n">
        <f aca="false">IF(G112="",0,K112-L112)</f>
        <v>0</v>
      </c>
      <c r="N112" s="48" t="str">
        <f aca="false">IFERROR(IF(G112="","",M112/G112),"")</f>
        <v/>
      </c>
      <c r="O112" s="39"/>
      <c r="P112" s="39"/>
      <c r="Q112" s="39"/>
      <c r="R112" s="39"/>
      <c r="S112" s="48" t="n">
        <f aca="false">IFERROR(VLOOKUP(H112,Settings!B14:C25,2,FALSE()),0)</f>
        <v>0</v>
      </c>
    </row>
    <row r="113" customFormat="false" ht="15" hidden="false" customHeight="false" outlineLevel="0" collapsed="false">
      <c r="A113" s="41" t="str">
        <f aca="false">IF(B113="","",ROW()-3)</f>
        <v/>
      </c>
      <c r="B113" s="42"/>
      <c r="G113" s="44"/>
      <c r="I113" s="44" t="n">
        <f aca="false">IF(G113="",0,G113*S113)</f>
        <v>0</v>
      </c>
      <c r="J113" s="44"/>
      <c r="K113" s="44" t="n">
        <f aca="false">IF(G113="",0,G113-I113-IF(J113="",0,J113))</f>
        <v>0</v>
      </c>
      <c r="L113" s="44" t="n">
        <f aca="false">IF(O113="",0,IFERROR(INDEX(Purchases!I:I,MATCH(O113*1,Purchases!A:A,0)),0))</f>
        <v>0</v>
      </c>
      <c r="M113" s="44" t="n">
        <f aca="false">IF(G113="",0,K113-L113)</f>
        <v>0</v>
      </c>
      <c r="N113" s="49" t="str">
        <f aca="false">IFERROR(IF(G113="","",M113/G113),"")</f>
        <v/>
      </c>
      <c r="S113" s="49" t="n">
        <f aca="false">IFERROR(VLOOKUP(H113,Settings!B14:C25,2,FALSE()),0)</f>
        <v>0</v>
      </c>
    </row>
    <row r="114" customFormat="false" ht="15" hidden="false" customHeight="false" outlineLevel="0" collapsed="false">
      <c r="A114" s="37" t="str">
        <f aca="false">IF(B114="","",ROW()-3)</f>
        <v/>
      </c>
      <c r="B114" s="38"/>
      <c r="C114" s="39"/>
      <c r="D114" s="39"/>
      <c r="E114" s="39"/>
      <c r="F114" s="39"/>
      <c r="G114" s="40"/>
      <c r="H114" s="39"/>
      <c r="I114" s="40" t="n">
        <f aca="false">IF(G114="",0,G114*S114)</f>
        <v>0</v>
      </c>
      <c r="J114" s="40"/>
      <c r="K114" s="40" t="n">
        <f aca="false">IF(G114="",0,G114-I114-IF(J114="",0,J114))</f>
        <v>0</v>
      </c>
      <c r="L114" s="40" t="n">
        <f aca="false">IF(O114="",0,IFERROR(INDEX(Purchases!I:I,MATCH(O114*1,Purchases!A:A,0)),0))</f>
        <v>0</v>
      </c>
      <c r="M114" s="40" t="n">
        <f aca="false">IF(G114="",0,K114-L114)</f>
        <v>0</v>
      </c>
      <c r="N114" s="48" t="str">
        <f aca="false">IFERROR(IF(G114="","",M114/G114),"")</f>
        <v/>
      </c>
      <c r="O114" s="39"/>
      <c r="P114" s="39"/>
      <c r="Q114" s="39"/>
      <c r="R114" s="39"/>
      <c r="S114" s="48" t="n">
        <f aca="false">IFERROR(VLOOKUP(H114,Settings!B14:C25,2,FALSE()),0)</f>
        <v>0</v>
      </c>
    </row>
    <row r="115" customFormat="false" ht="15" hidden="false" customHeight="false" outlineLevel="0" collapsed="false">
      <c r="A115" s="41" t="str">
        <f aca="false">IF(B115="","",ROW()-3)</f>
        <v/>
      </c>
      <c r="B115" s="42"/>
      <c r="G115" s="44"/>
      <c r="I115" s="44" t="n">
        <f aca="false">IF(G115="",0,G115*S115)</f>
        <v>0</v>
      </c>
      <c r="J115" s="44"/>
      <c r="K115" s="44" t="n">
        <f aca="false">IF(G115="",0,G115-I115-IF(J115="",0,J115))</f>
        <v>0</v>
      </c>
      <c r="L115" s="44" t="n">
        <f aca="false">IF(O115="",0,IFERROR(INDEX(Purchases!I:I,MATCH(O115*1,Purchases!A:A,0)),0))</f>
        <v>0</v>
      </c>
      <c r="M115" s="44" t="n">
        <f aca="false">IF(G115="",0,K115-L115)</f>
        <v>0</v>
      </c>
      <c r="N115" s="49" t="str">
        <f aca="false">IFERROR(IF(G115="","",M115/G115),"")</f>
        <v/>
      </c>
      <c r="S115" s="49" t="n">
        <f aca="false">IFERROR(VLOOKUP(H115,Settings!B14:C25,2,FALSE()),0)</f>
        <v>0</v>
      </c>
    </row>
    <row r="116" customFormat="false" ht="15" hidden="false" customHeight="false" outlineLevel="0" collapsed="false">
      <c r="A116" s="37" t="str">
        <f aca="false">IF(B116="","",ROW()-3)</f>
        <v/>
      </c>
      <c r="B116" s="38"/>
      <c r="C116" s="39"/>
      <c r="D116" s="39"/>
      <c r="E116" s="39"/>
      <c r="F116" s="39"/>
      <c r="G116" s="40"/>
      <c r="H116" s="39"/>
      <c r="I116" s="40" t="n">
        <f aca="false">IF(G116="",0,G116*S116)</f>
        <v>0</v>
      </c>
      <c r="J116" s="40"/>
      <c r="K116" s="40" t="n">
        <f aca="false">IF(G116="",0,G116-I116-IF(J116="",0,J116))</f>
        <v>0</v>
      </c>
      <c r="L116" s="40" t="n">
        <f aca="false">IF(O116="",0,IFERROR(INDEX(Purchases!I:I,MATCH(O116*1,Purchases!A:A,0)),0))</f>
        <v>0</v>
      </c>
      <c r="M116" s="40" t="n">
        <f aca="false">IF(G116="",0,K116-L116)</f>
        <v>0</v>
      </c>
      <c r="N116" s="48" t="str">
        <f aca="false">IFERROR(IF(G116="","",M116/G116),"")</f>
        <v/>
      </c>
      <c r="O116" s="39"/>
      <c r="P116" s="39"/>
      <c r="Q116" s="39"/>
      <c r="R116" s="39"/>
      <c r="S116" s="48" t="n">
        <f aca="false">IFERROR(VLOOKUP(H116,Settings!B14:C25,2,FALSE()),0)</f>
        <v>0</v>
      </c>
    </row>
    <row r="117" customFormat="false" ht="15" hidden="false" customHeight="false" outlineLevel="0" collapsed="false">
      <c r="A117" s="41" t="str">
        <f aca="false">IF(B117="","",ROW()-3)</f>
        <v/>
      </c>
      <c r="B117" s="42"/>
      <c r="G117" s="44"/>
      <c r="I117" s="44" t="n">
        <f aca="false">IF(G117="",0,G117*S117)</f>
        <v>0</v>
      </c>
      <c r="J117" s="44"/>
      <c r="K117" s="44" t="n">
        <f aca="false">IF(G117="",0,G117-I117-IF(J117="",0,J117))</f>
        <v>0</v>
      </c>
      <c r="L117" s="44" t="n">
        <f aca="false">IF(O117="",0,IFERROR(INDEX(Purchases!I:I,MATCH(O117*1,Purchases!A:A,0)),0))</f>
        <v>0</v>
      </c>
      <c r="M117" s="44" t="n">
        <f aca="false">IF(G117="",0,K117-L117)</f>
        <v>0</v>
      </c>
      <c r="N117" s="49" t="str">
        <f aca="false">IFERROR(IF(G117="","",M117/G117),"")</f>
        <v/>
      </c>
      <c r="S117" s="49" t="n">
        <f aca="false">IFERROR(VLOOKUP(H117,Settings!B14:C25,2,FALSE()),0)</f>
        <v>0</v>
      </c>
    </row>
    <row r="118" customFormat="false" ht="15" hidden="false" customHeight="false" outlineLevel="0" collapsed="false">
      <c r="A118" s="37" t="str">
        <f aca="false">IF(B118="","",ROW()-3)</f>
        <v/>
      </c>
      <c r="B118" s="38"/>
      <c r="C118" s="39"/>
      <c r="D118" s="39"/>
      <c r="E118" s="39"/>
      <c r="F118" s="39"/>
      <c r="G118" s="40"/>
      <c r="H118" s="39"/>
      <c r="I118" s="40" t="n">
        <f aca="false">IF(G118="",0,G118*S118)</f>
        <v>0</v>
      </c>
      <c r="J118" s="40"/>
      <c r="K118" s="40" t="n">
        <f aca="false">IF(G118="",0,G118-I118-IF(J118="",0,J118))</f>
        <v>0</v>
      </c>
      <c r="L118" s="40" t="n">
        <f aca="false">IF(O118="",0,IFERROR(INDEX(Purchases!I:I,MATCH(O118*1,Purchases!A:A,0)),0))</f>
        <v>0</v>
      </c>
      <c r="M118" s="40" t="n">
        <f aca="false">IF(G118="",0,K118-L118)</f>
        <v>0</v>
      </c>
      <c r="N118" s="48" t="str">
        <f aca="false">IFERROR(IF(G118="","",M118/G118),"")</f>
        <v/>
      </c>
      <c r="O118" s="39"/>
      <c r="P118" s="39"/>
      <c r="Q118" s="39"/>
      <c r="R118" s="39"/>
      <c r="S118" s="48" t="n">
        <f aca="false">IFERROR(VLOOKUP(H118,Settings!B14:C25,2,FALSE()),0)</f>
        <v>0</v>
      </c>
    </row>
    <row r="119" customFormat="false" ht="15" hidden="false" customHeight="false" outlineLevel="0" collapsed="false">
      <c r="A119" s="41" t="str">
        <f aca="false">IF(B119="","",ROW()-3)</f>
        <v/>
      </c>
      <c r="B119" s="42"/>
      <c r="G119" s="44"/>
      <c r="I119" s="44" t="n">
        <f aca="false">IF(G119="",0,G119*S119)</f>
        <v>0</v>
      </c>
      <c r="J119" s="44"/>
      <c r="K119" s="44" t="n">
        <f aca="false">IF(G119="",0,G119-I119-IF(J119="",0,J119))</f>
        <v>0</v>
      </c>
      <c r="L119" s="44" t="n">
        <f aca="false">IF(O119="",0,IFERROR(INDEX(Purchases!I:I,MATCH(O119*1,Purchases!A:A,0)),0))</f>
        <v>0</v>
      </c>
      <c r="M119" s="44" t="n">
        <f aca="false">IF(G119="",0,K119-L119)</f>
        <v>0</v>
      </c>
      <c r="N119" s="49" t="str">
        <f aca="false">IFERROR(IF(G119="","",M119/G119),"")</f>
        <v/>
      </c>
      <c r="S119" s="49" t="n">
        <f aca="false">IFERROR(VLOOKUP(H119,Settings!B14:C25,2,FALSE()),0)</f>
        <v>0</v>
      </c>
    </row>
    <row r="120" customFormat="false" ht="15" hidden="false" customHeight="false" outlineLevel="0" collapsed="false">
      <c r="A120" s="37" t="str">
        <f aca="false">IF(B120="","",ROW()-3)</f>
        <v/>
      </c>
      <c r="B120" s="38"/>
      <c r="C120" s="39"/>
      <c r="D120" s="39"/>
      <c r="E120" s="39"/>
      <c r="F120" s="39"/>
      <c r="G120" s="40"/>
      <c r="H120" s="39"/>
      <c r="I120" s="40" t="n">
        <f aca="false">IF(G120="",0,G120*S120)</f>
        <v>0</v>
      </c>
      <c r="J120" s="40"/>
      <c r="K120" s="40" t="n">
        <f aca="false">IF(G120="",0,G120-I120-IF(J120="",0,J120))</f>
        <v>0</v>
      </c>
      <c r="L120" s="40" t="n">
        <f aca="false">IF(O120="",0,IFERROR(INDEX(Purchases!I:I,MATCH(O120*1,Purchases!A:A,0)),0))</f>
        <v>0</v>
      </c>
      <c r="M120" s="40" t="n">
        <f aca="false">IF(G120="",0,K120-L120)</f>
        <v>0</v>
      </c>
      <c r="N120" s="48" t="str">
        <f aca="false">IFERROR(IF(G120="","",M120/G120),"")</f>
        <v/>
      </c>
      <c r="O120" s="39"/>
      <c r="P120" s="39"/>
      <c r="Q120" s="39"/>
      <c r="R120" s="39"/>
      <c r="S120" s="48" t="n">
        <f aca="false">IFERROR(VLOOKUP(H120,Settings!B14:C25,2,FALSE()),0)</f>
        <v>0</v>
      </c>
    </row>
    <row r="121" customFormat="false" ht="15" hidden="false" customHeight="false" outlineLevel="0" collapsed="false">
      <c r="A121" s="41" t="str">
        <f aca="false">IF(B121="","",ROW()-3)</f>
        <v/>
      </c>
      <c r="B121" s="42"/>
      <c r="G121" s="44"/>
      <c r="I121" s="44" t="n">
        <f aca="false">IF(G121="",0,G121*S121)</f>
        <v>0</v>
      </c>
      <c r="J121" s="44"/>
      <c r="K121" s="44" t="n">
        <f aca="false">IF(G121="",0,G121-I121-IF(J121="",0,J121))</f>
        <v>0</v>
      </c>
      <c r="L121" s="44" t="n">
        <f aca="false">IF(O121="",0,IFERROR(INDEX(Purchases!I:I,MATCH(O121*1,Purchases!A:A,0)),0))</f>
        <v>0</v>
      </c>
      <c r="M121" s="44" t="n">
        <f aca="false">IF(G121="",0,K121-L121)</f>
        <v>0</v>
      </c>
      <c r="N121" s="49" t="str">
        <f aca="false">IFERROR(IF(G121="","",M121/G121),"")</f>
        <v/>
      </c>
      <c r="S121" s="49" t="n">
        <f aca="false">IFERROR(VLOOKUP(H121,Settings!B14:C25,2,FALSE()),0)</f>
        <v>0</v>
      </c>
    </row>
    <row r="122" customFormat="false" ht="15" hidden="false" customHeight="false" outlineLevel="0" collapsed="false">
      <c r="A122" s="37" t="str">
        <f aca="false">IF(B122="","",ROW()-3)</f>
        <v/>
      </c>
      <c r="B122" s="38"/>
      <c r="C122" s="39"/>
      <c r="D122" s="39"/>
      <c r="E122" s="39"/>
      <c r="F122" s="39"/>
      <c r="G122" s="40"/>
      <c r="H122" s="39"/>
      <c r="I122" s="40" t="n">
        <f aca="false">IF(G122="",0,G122*S122)</f>
        <v>0</v>
      </c>
      <c r="J122" s="40"/>
      <c r="K122" s="40" t="n">
        <f aca="false">IF(G122="",0,G122-I122-IF(J122="",0,J122))</f>
        <v>0</v>
      </c>
      <c r="L122" s="40" t="n">
        <f aca="false">IF(O122="",0,IFERROR(INDEX(Purchases!I:I,MATCH(O122*1,Purchases!A:A,0)),0))</f>
        <v>0</v>
      </c>
      <c r="M122" s="40" t="n">
        <f aca="false">IF(G122="",0,K122-L122)</f>
        <v>0</v>
      </c>
      <c r="N122" s="48" t="str">
        <f aca="false">IFERROR(IF(G122="","",M122/G122),"")</f>
        <v/>
      </c>
      <c r="O122" s="39"/>
      <c r="P122" s="39"/>
      <c r="Q122" s="39"/>
      <c r="R122" s="39"/>
      <c r="S122" s="48" t="n">
        <f aca="false">IFERROR(VLOOKUP(H122,Settings!B14:C25,2,FALSE()),0)</f>
        <v>0</v>
      </c>
    </row>
    <row r="123" customFormat="false" ht="15" hidden="false" customHeight="false" outlineLevel="0" collapsed="false">
      <c r="A123" s="41" t="str">
        <f aca="false">IF(B123="","",ROW()-3)</f>
        <v/>
      </c>
      <c r="B123" s="42"/>
      <c r="G123" s="44"/>
      <c r="I123" s="44" t="n">
        <f aca="false">IF(G123="",0,G123*S123)</f>
        <v>0</v>
      </c>
      <c r="J123" s="44"/>
      <c r="K123" s="44" t="n">
        <f aca="false">IF(G123="",0,G123-I123-IF(J123="",0,J123))</f>
        <v>0</v>
      </c>
      <c r="L123" s="44" t="n">
        <f aca="false">IF(O123="",0,IFERROR(INDEX(Purchases!I:I,MATCH(O123*1,Purchases!A:A,0)),0))</f>
        <v>0</v>
      </c>
      <c r="M123" s="44" t="n">
        <f aca="false">IF(G123="",0,K123-L123)</f>
        <v>0</v>
      </c>
      <c r="N123" s="49" t="str">
        <f aca="false">IFERROR(IF(G123="","",M123/G123),"")</f>
        <v/>
      </c>
      <c r="S123" s="49" t="n">
        <f aca="false">IFERROR(VLOOKUP(H123,Settings!B14:C25,2,FALSE()),0)</f>
        <v>0</v>
      </c>
    </row>
    <row r="124" customFormat="false" ht="15" hidden="false" customHeight="false" outlineLevel="0" collapsed="false">
      <c r="A124" s="37" t="str">
        <f aca="false">IF(B124="","",ROW()-3)</f>
        <v/>
      </c>
      <c r="B124" s="38"/>
      <c r="C124" s="39"/>
      <c r="D124" s="39"/>
      <c r="E124" s="39"/>
      <c r="F124" s="39"/>
      <c r="G124" s="40"/>
      <c r="H124" s="39"/>
      <c r="I124" s="40" t="n">
        <f aca="false">IF(G124="",0,G124*S124)</f>
        <v>0</v>
      </c>
      <c r="J124" s="40"/>
      <c r="K124" s="40" t="n">
        <f aca="false">IF(G124="",0,G124-I124-IF(J124="",0,J124))</f>
        <v>0</v>
      </c>
      <c r="L124" s="40" t="n">
        <f aca="false">IF(O124="",0,IFERROR(INDEX(Purchases!I:I,MATCH(O124*1,Purchases!A:A,0)),0))</f>
        <v>0</v>
      </c>
      <c r="M124" s="40" t="n">
        <f aca="false">IF(G124="",0,K124-L124)</f>
        <v>0</v>
      </c>
      <c r="N124" s="48" t="str">
        <f aca="false">IFERROR(IF(G124="","",M124/G124),"")</f>
        <v/>
      </c>
      <c r="O124" s="39"/>
      <c r="P124" s="39"/>
      <c r="Q124" s="39"/>
      <c r="R124" s="39"/>
      <c r="S124" s="48" t="n">
        <f aca="false">IFERROR(VLOOKUP(H124,Settings!B14:C25,2,FALSE()),0)</f>
        <v>0</v>
      </c>
    </row>
    <row r="125" customFormat="false" ht="15" hidden="false" customHeight="false" outlineLevel="0" collapsed="false">
      <c r="A125" s="41" t="str">
        <f aca="false">IF(B125="","",ROW()-3)</f>
        <v/>
      </c>
      <c r="B125" s="42"/>
      <c r="G125" s="44"/>
      <c r="I125" s="44" t="n">
        <f aca="false">IF(G125="",0,G125*S125)</f>
        <v>0</v>
      </c>
      <c r="J125" s="44"/>
      <c r="K125" s="44" t="n">
        <f aca="false">IF(G125="",0,G125-I125-IF(J125="",0,J125))</f>
        <v>0</v>
      </c>
      <c r="L125" s="44" t="n">
        <f aca="false">IF(O125="",0,IFERROR(INDEX(Purchases!I:I,MATCH(O125*1,Purchases!A:A,0)),0))</f>
        <v>0</v>
      </c>
      <c r="M125" s="44" t="n">
        <f aca="false">IF(G125="",0,K125-L125)</f>
        <v>0</v>
      </c>
      <c r="N125" s="49" t="str">
        <f aca="false">IFERROR(IF(G125="","",M125/G125),"")</f>
        <v/>
      </c>
      <c r="S125" s="49" t="n">
        <f aca="false">IFERROR(VLOOKUP(H125,Settings!B14:C25,2,FALSE()),0)</f>
        <v>0</v>
      </c>
    </row>
    <row r="126" customFormat="false" ht="15" hidden="false" customHeight="false" outlineLevel="0" collapsed="false">
      <c r="A126" s="37" t="str">
        <f aca="false">IF(B126="","",ROW()-3)</f>
        <v/>
      </c>
      <c r="B126" s="38"/>
      <c r="C126" s="39"/>
      <c r="D126" s="39"/>
      <c r="E126" s="39"/>
      <c r="F126" s="39"/>
      <c r="G126" s="40"/>
      <c r="H126" s="39"/>
      <c r="I126" s="40" t="n">
        <f aca="false">IF(G126="",0,G126*S126)</f>
        <v>0</v>
      </c>
      <c r="J126" s="40"/>
      <c r="K126" s="40" t="n">
        <f aca="false">IF(G126="",0,G126-I126-IF(J126="",0,J126))</f>
        <v>0</v>
      </c>
      <c r="L126" s="40" t="n">
        <f aca="false">IF(O126="",0,IFERROR(INDEX(Purchases!I:I,MATCH(O126*1,Purchases!A:A,0)),0))</f>
        <v>0</v>
      </c>
      <c r="M126" s="40" t="n">
        <f aca="false">IF(G126="",0,K126-L126)</f>
        <v>0</v>
      </c>
      <c r="N126" s="48" t="str">
        <f aca="false">IFERROR(IF(G126="","",M126/G126),"")</f>
        <v/>
      </c>
      <c r="O126" s="39"/>
      <c r="P126" s="39"/>
      <c r="Q126" s="39"/>
      <c r="R126" s="39"/>
      <c r="S126" s="48" t="n">
        <f aca="false">IFERROR(VLOOKUP(H126,Settings!B14:C25,2,FALSE()),0)</f>
        <v>0</v>
      </c>
    </row>
    <row r="127" customFormat="false" ht="15" hidden="false" customHeight="false" outlineLevel="0" collapsed="false">
      <c r="A127" s="41" t="str">
        <f aca="false">IF(B127="","",ROW()-3)</f>
        <v/>
      </c>
      <c r="B127" s="42"/>
      <c r="G127" s="44"/>
      <c r="I127" s="44" t="n">
        <f aca="false">IF(G127="",0,G127*S127)</f>
        <v>0</v>
      </c>
      <c r="J127" s="44"/>
      <c r="K127" s="44" t="n">
        <f aca="false">IF(G127="",0,G127-I127-IF(J127="",0,J127))</f>
        <v>0</v>
      </c>
      <c r="L127" s="44" t="n">
        <f aca="false">IF(O127="",0,IFERROR(INDEX(Purchases!I:I,MATCH(O127*1,Purchases!A:A,0)),0))</f>
        <v>0</v>
      </c>
      <c r="M127" s="44" t="n">
        <f aca="false">IF(G127="",0,K127-L127)</f>
        <v>0</v>
      </c>
      <c r="N127" s="49" t="str">
        <f aca="false">IFERROR(IF(G127="","",M127/G127),"")</f>
        <v/>
      </c>
      <c r="S127" s="49" t="n">
        <f aca="false">IFERROR(VLOOKUP(H127,Settings!B14:C25,2,FALSE()),0)</f>
        <v>0</v>
      </c>
    </row>
    <row r="128" customFormat="false" ht="15" hidden="false" customHeight="false" outlineLevel="0" collapsed="false">
      <c r="A128" s="37" t="str">
        <f aca="false">IF(B128="","",ROW()-3)</f>
        <v/>
      </c>
      <c r="B128" s="38"/>
      <c r="C128" s="39"/>
      <c r="D128" s="39"/>
      <c r="E128" s="39"/>
      <c r="F128" s="39"/>
      <c r="G128" s="40"/>
      <c r="H128" s="39"/>
      <c r="I128" s="40" t="n">
        <f aca="false">IF(G128="",0,G128*S128)</f>
        <v>0</v>
      </c>
      <c r="J128" s="40"/>
      <c r="K128" s="40" t="n">
        <f aca="false">IF(G128="",0,G128-I128-IF(J128="",0,J128))</f>
        <v>0</v>
      </c>
      <c r="L128" s="40" t="n">
        <f aca="false">IF(O128="",0,IFERROR(INDEX(Purchases!I:I,MATCH(O128*1,Purchases!A:A,0)),0))</f>
        <v>0</v>
      </c>
      <c r="M128" s="40" t="n">
        <f aca="false">IF(G128="",0,K128-L128)</f>
        <v>0</v>
      </c>
      <c r="N128" s="48" t="str">
        <f aca="false">IFERROR(IF(G128="","",M128/G128),"")</f>
        <v/>
      </c>
      <c r="O128" s="39"/>
      <c r="P128" s="39"/>
      <c r="Q128" s="39"/>
      <c r="R128" s="39"/>
      <c r="S128" s="48" t="n">
        <f aca="false">IFERROR(VLOOKUP(H128,Settings!B14:C25,2,FALSE()),0)</f>
        <v>0</v>
      </c>
    </row>
    <row r="129" customFormat="false" ht="15" hidden="false" customHeight="false" outlineLevel="0" collapsed="false">
      <c r="A129" s="41" t="str">
        <f aca="false">IF(B129="","",ROW()-3)</f>
        <v/>
      </c>
      <c r="B129" s="42"/>
      <c r="G129" s="44"/>
      <c r="I129" s="44" t="n">
        <f aca="false">IF(G129="",0,G129*S129)</f>
        <v>0</v>
      </c>
      <c r="J129" s="44"/>
      <c r="K129" s="44" t="n">
        <f aca="false">IF(G129="",0,G129-I129-IF(J129="",0,J129))</f>
        <v>0</v>
      </c>
      <c r="L129" s="44" t="n">
        <f aca="false">IF(O129="",0,IFERROR(INDEX(Purchases!I:I,MATCH(O129*1,Purchases!A:A,0)),0))</f>
        <v>0</v>
      </c>
      <c r="M129" s="44" t="n">
        <f aca="false">IF(G129="",0,K129-L129)</f>
        <v>0</v>
      </c>
      <c r="N129" s="49" t="str">
        <f aca="false">IFERROR(IF(G129="","",M129/G129),"")</f>
        <v/>
      </c>
      <c r="S129" s="49" t="n">
        <f aca="false">IFERROR(VLOOKUP(H129,Settings!B14:C25,2,FALSE()),0)</f>
        <v>0</v>
      </c>
    </row>
    <row r="130" customFormat="false" ht="15" hidden="false" customHeight="false" outlineLevel="0" collapsed="false">
      <c r="A130" s="37" t="str">
        <f aca="false">IF(B130="","",ROW()-3)</f>
        <v/>
      </c>
      <c r="B130" s="38"/>
      <c r="C130" s="39"/>
      <c r="D130" s="39"/>
      <c r="E130" s="39"/>
      <c r="F130" s="39"/>
      <c r="G130" s="40"/>
      <c r="H130" s="39"/>
      <c r="I130" s="40" t="n">
        <f aca="false">IF(G130="",0,G130*S130)</f>
        <v>0</v>
      </c>
      <c r="J130" s="40"/>
      <c r="K130" s="40" t="n">
        <f aca="false">IF(G130="",0,G130-I130-IF(J130="",0,J130))</f>
        <v>0</v>
      </c>
      <c r="L130" s="40" t="n">
        <f aca="false">IF(O130="",0,IFERROR(INDEX(Purchases!I:I,MATCH(O130*1,Purchases!A:A,0)),0))</f>
        <v>0</v>
      </c>
      <c r="M130" s="40" t="n">
        <f aca="false">IF(G130="",0,K130-L130)</f>
        <v>0</v>
      </c>
      <c r="N130" s="48" t="str">
        <f aca="false">IFERROR(IF(G130="","",M130/G130),"")</f>
        <v/>
      </c>
      <c r="O130" s="39"/>
      <c r="P130" s="39"/>
      <c r="Q130" s="39"/>
      <c r="R130" s="39"/>
      <c r="S130" s="48" t="n">
        <f aca="false">IFERROR(VLOOKUP(H130,Settings!B14:C25,2,FALSE()),0)</f>
        <v>0</v>
      </c>
    </row>
    <row r="131" customFormat="false" ht="15" hidden="false" customHeight="false" outlineLevel="0" collapsed="false">
      <c r="A131" s="41" t="str">
        <f aca="false">IF(B131="","",ROW()-3)</f>
        <v/>
      </c>
      <c r="B131" s="42"/>
      <c r="G131" s="44"/>
      <c r="I131" s="44" t="n">
        <f aca="false">IF(G131="",0,G131*S131)</f>
        <v>0</v>
      </c>
      <c r="J131" s="44"/>
      <c r="K131" s="44" t="n">
        <f aca="false">IF(G131="",0,G131-I131-IF(J131="",0,J131))</f>
        <v>0</v>
      </c>
      <c r="L131" s="44" t="n">
        <f aca="false">IF(O131="",0,IFERROR(INDEX(Purchases!I:I,MATCH(O131*1,Purchases!A:A,0)),0))</f>
        <v>0</v>
      </c>
      <c r="M131" s="44" t="n">
        <f aca="false">IF(G131="",0,K131-L131)</f>
        <v>0</v>
      </c>
      <c r="N131" s="49" t="str">
        <f aca="false">IFERROR(IF(G131="","",M131/G131),"")</f>
        <v/>
      </c>
      <c r="S131" s="49" t="n">
        <f aca="false">IFERROR(VLOOKUP(H131,Settings!B14:C25,2,FALSE()),0)</f>
        <v>0</v>
      </c>
    </row>
    <row r="132" customFormat="false" ht="15" hidden="false" customHeight="false" outlineLevel="0" collapsed="false">
      <c r="A132" s="37" t="str">
        <f aca="false">IF(B132="","",ROW()-3)</f>
        <v/>
      </c>
      <c r="B132" s="38"/>
      <c r="C132" s="39"/>
      <c r="D132" s="39"/>
      <c r="E132" s="39"/>
      <c r="F132" s="39"/>
      <c r="G132" s="40"/>
      <c r="H132" s="39"/>
      <c r="I132" s="40" t="n">
        <f aca="false">IF(G132="",0,G132*S132)</f>
        <v>0</v>
      </c>
      <c r="J132" s="40"/>
      <c r="K132" s="40" t="n">
        <f aca="false">IF(G132="",0,G132-I132-IF(J132="",0,J132))</f>
        <v>0</v>
      </c>
      <c r="L132" s="40" t="n">
        <f aca="false">IF(O132="",0,IFERROR(INDEX(Purchases!I:I,MATCH(O132*1,Purchases!A:A,0)),0))</f>
        <v>0</v>
      </c>
      <c r="M132" s="40" t="n">
        <f aca="false">IF(G132="",0,K132-L132)</f>
        <v>0</v>
      </c>
      <c r="N132" s="48" t="str">
        <f aca="false">IFERROR(IF(G132="","",M132/G132),"")</f>
        <v/>
      </c>
      <c r="O132" s="39"/>
      <c r="P132" s="39"/>
      <c r="Q132" s="39"/>
      <c r="R132" s="39"/>
      <c r="S132" s="48" t="n">
        <f aca="false">IFERROR(VLOOKUP(H132,Settings!B14:C25,2,FALSE()),0)</f>
        <v>0</v>
      </c>
    </row>
    <row r="133" customFormat="false" ht="15" hidden="false" customHeight="false" outlineLevel="0" collapsed="false">
      <c r="A133" s="41" t="str">
        <f aca="false">IF(B133="","",ROW()-3)</f>
        <v/>
      </c>
      <c r="B133" s="42"/>
      <c r="G133" s="44"/>
      <c r="I133" s="44" t="n">
        <f aca="false">IF(G133="",0,G133*S133)</f>
        <v>0</v>
      </c>
      <c r="J133" s="44"/>
      <c r="K133" s="44" t="n">
        <f aca="false">IF(G133="",0,G133-I133-IF(J133="",0,J133))</f>
        <v>0</v>
      </c>
      <c r="L133" s="44" t="n">
        <f aca="false">IF(O133="",0,IFERROR(INDEX(Purchases!I:I,MATCH(O133*1,Purchases!A:A,0)),0))</f>
        <v>0</v>
      </c>
      <c r="M133" s="44" t="n">
        <f aca="false">IF(G133="",0,K133-L133)</f>
        <v>0</v>
      </c>
      <c r="N133" s="49" t="str">
        <f aca="false">IFERROR(IF(G133="","",M133/G133),"")</f>
        <v/>
      </c>
      <c r="S133" s="49" t="n">
        <f aca="false">IFERROR(VLOOKUP(H133,Settings!B14:C25,2,FALSE()),0)</f>
        <v>0</v>
      </c>
    </row>
    <row r="134" customFormat="false" ht="15" hidden="false" customHeight="false" outlineLevel="0" collapsed="false">
      <c r="A134" s="37" t="str">
        <f aca="false">IF(B134="","",ROW()-3)</f>
        <v/>
      </c>
      <c r="B134" s="38"/>
      <c r="C134" s="39"/>
      <c r="D134" s="39"/>
      <c r="E134" s="39"/>
      <c r="F134" s="39"/>
      <c r="G134" s="40"/>
      <c r="H134" s="39"/>
      <c r="I134" s="40" t="n">
        <f aca="false">IF(G134="",0,G134*S134)</f>
        <v>0</v>
      </c>
      <c r="J134" s="40"/>
      <c r="K134" s="40" t="n">
        <f aca="false">IF(G134="",0,G134-I134-IF(J134="",0,J134))</f>
        <v>0</v>
      </c>
      <c r="L134" s="40" t="n">
        <f aca="false">IF(O134="",0,IFERROR(INDEX(Purchases!I:I,MATCH(O134*1,Purchases!A:A,0)),0))</f>
        <v>0</v>
      </c>
      <c r="M134" s="40" t="n">
        <f aca="false">IF(G134="",0,K134-L134)</f>
        <v>0</v>
      </c>
      <c r="N134" s="48" t="str">
        <f aca="false">IFERROR(IF(G134="","",M134/G134),"")</f>
        <v/>
      </c>
      <c r="O134" s="39"/>
      <c r="P134" s="39"/>
      <c r="Q134" s="39"/>
      <c r="R134" s="39"/>
      <c r="S134" s="48" t="n">
        <f aca="false">IFERROR(VLOOKUP(H134,Settings!B14:C25,2,FALSE()),0)</f>
        <v>0</v>
      </c>
    </row>
    <row r="135" customFormat="false" ht="15" hidden="false" customHeight="false" outlineLevel="0" collapsed="false">
      <c r="A135" s="41" t="str">
        <f aca="false">IF(B135="","",ROW()-3)</f>
        <v/>
      </c>
      <c r="B135" s="42"/>
      <c r="G135" s="44"/>
      <c r="I135" s="44" t="n">
        <f aca="false">IF(G135="",0,G135*S135)</f>
        <v>0</v>
      </c>
      <c r="J135" s="44"/>
      <c r="K135" s="44" t="n">
        <f aca="false">IF(G135="",0,G135-I135-IF(J135="",0,J135))</f>
        <v>0</v>
      </c>
      <c r="L135" s="44" t="n">
        <f aca="false">IF(O135="",0,IFERROR(INDEX(Purchases!I:I,MATCH(O135*1,Purchases!A:A,0)),0))</f>
        <v>0</v>
      </c>
      <c r="M135" s="44" t="n">
        <f aca="false">IF(G135="",0,K135-L135)</f>
        <v>0</v>
      </c>
      <c r="N135" s="49" t="str">
        <f aca="false">IFERROR(IF(G135="","",M135/G135),"")</f>
        <v/>
      </c>
      <c r="S135" s="49" t="n">
        <f aca="false">IFERROR(VLOOKUP(H135,Settings!B14:C25,2,FALSE()),0)</f>
        <v>0</v>
      </c>
    </row>
    <row r="136" customFormat="false" ht="15" hidden="false" customHeight="false" outlineLevel="0" collapsed="false">
      <c r="A136" s="37" t="str">
        <f aca="false">IF(B136="","",ROW()-3)</f>
        <v/>
      </c>
      <c r="B136" s="38"/>
      <c r="C136" s="39"/>
      <c r="D136" s="39"/>
      <c r="E136" s="39"/>
      <c r="F136" s="39"/>
      <c r="G136" s="40"/>
      <c r="H136" s="39"/>
      <c r="I136" s="40" t="n">
        <f aca="false">IF(G136="",0,G136*S136)</f>
        <v>0</v>
      </c>
      <c r="J136" s="40"/>
      <c r="K136" s="40" t="n">
        <f aca="false">IF(G136="",0,G136-I136-IF(J136="",0,J136))</f>
        <v>0</v>
      </c>
      <c r="L136" s="40" t="n">
        <f aca="false">IF(O136="",0,IFERROR(INDEX(Purchases!I:I,MATCH(O136*1,Purchases!A:A,0)),0))</f>
        <v>0</v>
      </c>
      <c r="M136" s="40" t="n">
        <f aca="false">IF(G136="",0,K136-L136)</f>
        <v>0</v>
      </c>
      <c r="N136" s="48" t="str">
        <f aca="false">IFERROR(IF(G136="","",M136/G136),"")</f>
        <v/>
      </c>
      <c r="O136" s="39"/>
      <c r="P136" s="39"/>
      <c r="Q136" s="39"/>
      <c r="R136" s="39"/>
      <c r="S136" s="48" t="n">
        <f aca="false">IFERROR(VLOOKUP(H136,Settings!B14:C25,2,FALSE()),0)</f>
        <v>0</v>
      </c>
    </row>
    <row r="137" customFormat="false" ht="15" hidden="false" customHeight="false" outlineLevel="0" collapsed="false">
      <c r="A137" s="41" t="str">
        <f aca="false">IF(B137="","",ROW()-3)</f>
        <v/>
      </c>
      <c r="B137" s="42"/>
      <c r="G137" s="44"/>
      <c r="I137" s="44" t="n">
        <f aca="false">IF(G137="",0,G137*S137)</f>
        <v>0</v>
      </c>
      <c r="J137" s="44"/>
      <c r="K137" s="44" t="n">
        <f aca="false">IF(G137="",0,G137-I137-IF(J137="",0,J137))</f>
        <v>0</v>
      </c>
      <c r="L137" s="44" t="n">
        <f aca="false">IF(O137="",0,IFERROR(INDEX(Purchases!I:I,MATCH(O137*1,Purchases!A:A,0)),0))</f>
        <v>0</v>
      </c>
      <c r="M137" s="44" t="n">
        <f aca="false">IF(G137="",0,K137-L137)</f>
        <v>0</v>
      </c>
      <c r="N137" s="49" t="str">
        <f aca="false">IFERROR(IF(G137="","",M137/G137),"")</f>
        <v/>
      </c>
      <c r="S137" s="49" t="n">
        <f aca="false">IFERROR(VLOOKUP(H137,Settings!B14:C25,2,FALSE()),0)</f>
        <v>0</v>
      </c>
    </row>
    <row r="138" customFormat="false" ht="15" hidden="false" customHeight="false" outlineLevel="0" collapsed="false">
      <c r="A138" s="37" t="str">
        <f aca="false">IF(B138="","",ROW()-3)</f>
        <v/>
      </c>
      <c r="B138" s="38"/>
      <c r="C138" s="39"/>
      <c r="D138" s="39"/>
      <c r="E138" s="39"/>
      <c r="F138" s="39"/>
      <c r="G138" s="40"/>
      <c r="H138" s="39"/>
      <c r="I138" s="40" t="n">
        <f aca="false">IF(G138="",0,G138*S138)</f>
        <v>0</v>
      </c>
      <c r="J138" s="40"/>
      <c r="K138" s="40" t="n">
        <f aca="false">IF(G138="",0,G138-I138-IF(J138="",0,J138))</f>
        <v>0</v>
      </c>
      <c r="L138" s="40" t="n">
        <f aca="false">IF(O138="",0,IFERROR(INDEX(Purchases!I:I,MATCH(O138*1,Purchases!A:A,0)),0))</f>
        <v>0</v>
      </c>
      <c r="M138" s="40" t="n">
        <f aca="false">IF(G138="",0,K138-L138)</f>
        <v>0</v>
      </c>
      <c r="N138" s="48" t="str">
        <f aca="false">IFERROR(IF(G138="","",M138/G138),"")</f>
        <v/>
      </c>
      <c r="O138" s="39"/>
      <c r="P138" s="39"/>
      <c r="Q138" s="39"/>
      <c r="R138" s="39"/>
      <c r="S138" s="48" t="n">
        <f aca="false">IFERROR(VLOOKUP(H138,Settings!B14:C25,2,FALSE()),0)</f>
        <v>0</v>
      </c>
    </row>
    <row r="139" customFormat="false" ht="15" hidden="false" customHeight="false" outlineLevel="0" collapsed="false">
      <c r="A139" s="41" t="str">
        <f aca="false">IF(B139="","",ROW()-3)</f>
        <v/>
      </c>
      <c r="B139" s="42"/>
      <c r="G139" s="44"/>
      <c r="I139" s="44" t="n">
        <f aca="false">IF(G139="",0,G139*S139)</f>
        <v>0</v>
      </c>
      <c r="J139" s="44"/>
      <c r="K139" s="44" t="n">
        <f aca="false">IF(G139="",0,G139-I139-IF(J139="",0,J139))</f>
        <v>0</v>
      </c>
      <c r="L139" s="44" t="n">
        <f aca="false">IF(O139="",0,IFERROR(INDEX(Purchases!I:I,MATCH(O139*1,Purchases!A:A,0)),0))</f>
        <v>0</v>
      </c>
      <c r="M139" s="44" t="n">
        <f aca="false">IF(G139="",0,K139-L139)</f>
        <v>0</v>
      </c>
      <c r="N139" s="49" t="str">
        <f aca="false">IFERROR(IF(G139="","",M139/G139),"")</f>
        <v/>
      </c>
      <c r="S139" s="49" t="n">
        <f aca="false">IFERROR(VLOOKUP(H139,Settings!B14:C25,2,FALSE()),0)</f>
        <v>0</v>
      </c>
    </row>
    <row r="140" customFormat="false" ht="15" hidden="false" customHeight="false" outlineLevel="0" collapsed="false">
      <c r="A140" s="37" t="str">
        <f aca="false">IF(B140="","",ROW()-3)</f>
        <v/>
      </c>
      <c r="B140" s="38"/>
      <c r="C140" s="39"/>
      <c r="D140" s="39"/>
      <c r="E140" s="39"/>
      <c r="F140" s="39"/>
      <c r="G140" s="40"/>
      <c r="H140" s="39"/>
      <c r="I140" s="40" t="n">
        <f aca="false">IF(G140="",0,G140*S140)</f>
        <v>0</v>
      </c>
      <c r="J140" s="40"/>
      <c r="K140" s="40" t="n">
        <f aca="false">IF(G140="",0,G140-I140-IF(J140="",0,J140))</f>
        <v>0</v>
      </c>
      <c r="L140" s="40" t="n">
        <f aca="false">IF(O140="",0,IFERROR(INDEX(Purchases!I:I,MATCH(O140*1,Purchases!A:A,0)),0))</f>
        <v>0</v>
      </c>
      <c r="M140" s="40" t="n">
        <f aca="false">IF(G140="",0,K140-L140)</f>
        <v>0</v>
      </c>
      <c r="N140" s="48" t="str">
        <f aca="false">IFERROR(IF(G140="","",M140/G140),"")</f>
        <v/>
      </c>
      <c r="O140" s="39"/>
      <c r="P140" s="39"/>
      <c r="Q140" s="39"/>
      <c r="R140" s="39"/>
      <c r="S140" s="48" t="n">
        <f aca="false">IFERROR(VLOOKUP(H140,Settings!B14:C25,2,FALSE()),0)</f>
        <v>0</v>
      </c>
    </row>
    <row r="141" customFormat="false" ht="15" hidden="false" customHeight="false" outlineLevel="0" collapsed="false">
      <c r="A141" s="41" t="str">
        <f aca="false">IF(B141="","",ROW()-3)</f>
        <v/>
      </c>
      <c r="B141" s="42"/>
      <c r="G141" s="44"/>
      <c r="I141" s="44" t="n">
        <f aca="false">IF(G141="",0,G141*S141)</f>
        <v>0</v>
      </c>
      <c r="J141" s="44"/>
      <c r="K141" s="44" t="n">
        <f aca="false">IF(G141="",0,G141-I141-IF(J141="",0,J141))</f>
        <v>0</v>
      </c>
      <c r="L141" s="44" t="n">
        <f aca="false">IF(O141="",0,IFERROR(INDEX(Purchases!I:I,MATCH(O141*1,Purchases!A:A,0)),0))</f>
        <v>0</v>
      </c>
      <c r="M141" s="44" t="n">
        <f aca="false">IF(G141="",0,K141-L141)</f>
        <v>0</v>
      </c>
      <c r="N141" s="49" t="str">
        <f aca="false">IFERROR(IF(G141="","",M141/G141),"")</f>
        <v/>
      </c>
      <c r="S141" s="49" t="n">
        <f aca="false">IFERROR(VLOOKUP(H141,Settings!B14:C25,2,FALSE()),0)</f>
        <v>0</v>
      </c>
    </row>
    <row r="142" customFormat="false" ht="15" hidden="false" customHeight="false" outlineLevel="0" collapsed="false">
      <c r="A142" s="37" t="str">
        <f aca="false">IF(B142="","",ROW()-3)</f>
        <v/>
      </c>
      <c r="B142" s="38"/>
      <c r="C142" s="39"/>
      <c r="D142" s="39"/>
      <c r="E142" s="39"/>
      <c r="F142" s="39"/>
      <c r="G142" s="40"/>
      <c r="H142" s="39"/>
      <c r="I142" s="40" t="n">
        <f aca="false">IF(G142="",0,G142*S142)</f>
        <v>0</v>
      </c>
      <c r="J142" s="40"/>
      <c r="K142" s="40" t="n">
        <f aca="false">IF(G142="",0,G142-I142-IF(J142="",0,J142))</f>
        <v>0</v>
      </c>
      <c r="L142" s="40" t="n">
        <f aca="false">IF(O142="",0,IFERROR(INDEX(Purchases!I:I,MATCH(O142*1,Purchases!A:A,0)),0))</f>
        <v>0</v>
      </c>
      <c r="M142" s="40" t="n">
        <f aca="false">IF(G142="",0,K142-L142)</f>
        <v>0</v>
      </c>
      <c r="N142" s="48" t="str">
        <f aca="false">IFERROR(IF(G142="","",M142/G142),"")</f>
        <v/>
      </c>
      <c r="O142" s="39"/>
      <c r="P142" s="39"/>
      <c r="Q142" s="39"/>
      <c r="R142" s="39"/>
      <c r="S142" s="48" t="n">
        <f aca="false">IFERROR(VLOOKUP(H142,Settings!B14:C25,2,FALSE()),0)</f>
        <v>0</v>
      </c>
    </row>
    <row r="143" customFormat="false" ht="15" hidden="false" customHeight="false" outlineLevel="0" collapsed="false">
      <c r="A143" s="41" t="str">
        <f aca="false">IF(B143="","",ROW()-3)</f>
        <v/>
      </c>
      <c r="B143" s="42"/>
      <c r="G143" s="44"/>
      <c r="I143" s="44" t="n">
        <f aca="false">IF(G143="",0,G143*S143)</f>
        <v>0</v>
      </c>
      <c r="J143" s="44"/>
      <c r="K143" s="44" t="n">
        <f aca="false">IF(G143="",0,G143-I143-IF(J143="",0,J143))</f>
        <v>0</v>
      </c>
      <c r="L143" s="44" t="n">
        <f aca="false">IF(O143="",0,IFERROR(INDEX(Purchases!I:I,MATCH(O143*1,Purchases!A:A,0)),0))</f>
        <v>0</v>
      </c>
      <c r="M143" s="44" t="n">
        <f aca="false">IF(G143="",0,K143-L143)</f>
        <v>0</v>
      </c>
      <c r="N143" s="49" t="str">
        <f aca="false">IFERROR(IF(G143="","",M143/G143),"")</f>
        <v/>
      </c>
      <c r="S143" s="49" t="n">
        <f aca="false">IFERROR(VLOOKUP(H143,Settings!B14:C25,2,FALSE()),0)</f>
        <v>0</v>
      </c>
    </row>
    <row r="144" customFormat="false" ht="15" hidden="false" customHeight="false" outlineLevel="0" collapsed="false">
      <c r="A144" s="37" t="str">
        <f aca="false">IF(B144="","",ROW()-3)</f>
        <v/>
      </c>
      <c r="B144" s="38"/>
      <c r="C144" s="39"/>
      <c r="D144" s="39"/>
      <c r="E144" s="39"/>
      <c r="F144" s="39"/>
      <c r="G144" s="40"/>
      <c r="H144" s="39"/>
      <c r="I144" s="40" t="n">
        <f aca="false">IF(G144="",0,G144*S144)</f>
        <v>0</v>
      </c>
      <c r="J144" s="40"/>
      <c r="K144" s="40" t="n">
        <f aca="false">IF(G144="",0,G144-I144-IF(J144="",0,J144))</f>
        <v>0</v>
      </c>
      <c r="L144" s="40" t="n">
        <f aca="false">IF(O144="",0,IFERROR(INDEX(Purchases!I:I,MATCH(O144*1,Purchases!A:A,0)),0))</f>
        <v>0</v>
      </c>
      <c r="M144" s="40" t="n">
        <f aca="false">IF(G144="",0,K144-L144)</f>
        <v>0</v>
      </c>
      <c r="N144" s="48" t="str">
        <f aca="false">IFERROR(IF(G144="","",M144/G144),"")</f>
        <v/>
      </c>
      <c r="O144" s="39"/>
      <c r="P144" s="39"/>
      <c r="Q144" s="39"/>
      <c r="R144" s="39"/>
      <c r="S144" s="48" t="n">
        <f aca="false">IFERROR(VLOOKUP(H144,Settings!B14:C25,2,FALSE()),0)</f>
        <v>0</v>
      </c>
    </row>
    <row r="145" customFormat="false" ht="15" hidden="false" customHeight="false" outlineLevel="0" collapsed="false">
      <c r="A145" s="41" t="str">
        <f aca="false">IF(B145="","",ROW()-3)</f>
        <v/>
      </c>
      <c r="B145" s="42"/>
      <c r="G145" s="44"/>
      <c r="I145" s="44" t="n">
        <f aca="false">IF(G145="",0,G145*S145)</f>
        <v>0</v>
      </c>
      <c r="J145" s="44"/>
      <c r="K145" s="44" t="n">
        <f aca="false">IF(G145="",0,G145-I145-IF(J145="",0,J145))</f>
        <v>0</v>
      </c>
      <c r="L145" s="44" t="n">
        <f aca="false">IF(O145="",0,IFERROR(INDEX(Purchases!I:I,MATCH(O145*1,Purchases!A:A,0)),0))</f>
        <v>0</v>
      </c>
      <c r="M145" s="44" t="n">
        <f aca="false">IF(G145="",0,K145-L145)</f>
        <v>0</v>
      </c>
      <c r="N145" s="49" t="str">
        <f aca="false">IFERROR(IF(G145="","",M145/G145),"")</f>
        <v/>
      </c>
      <c r="S145" s="49" t="n">
        <f aca="false">IFERROR(VLOOKUP(H145,Settings!B14:C25,2,FALSE()),0)</f>
        <v>0</v>
      </c>
    </row>
    <row r="146" customFormat="false" ht="15" hidden="false" customHeight="false" outlineLevel="0" collapsed="false">
      <c r="A146" s="37" t="str">
        <f aca="false">IF(B146="","",ROW()-3)</f>
        <v/>
      </c>
      <c r="B146" s="38"/>
      <c r="C146" s="39"/>
      <c r="D146" s="39"/>
      <c r="E146" s="39"/>
      <c r="F146" s="39"/>
      <c r="G146" s="40"/>
      <c r="H146" s="39"/>
      <c r="I146" s="40" t="n">
        <f aca="false">IF(G146="",0,G146*S146)</f>
        <v>0</v>
      </c>
      <c r="J146" s="40"/>
      <c r="K146" s="40" t="n">
        <f aca="false">IF(G146="",0,G146-I146-IF(J146="",0,J146))</f>
        <v>0</v>
      </c>
      <c r="L146" s="40" t="n">
        <f aca="false">IF(O146="",0,IFERROR(INDEX(Purchases!I:I,MATCH(O146*1,Purchases!A:A,0)),0))</f>
        <v>0</v>
      </c>
      <c r="M146" s="40" t="n">
        <f aca="false">IF(G146="",0,K146-L146)</f>
        <v>0</v>
      </c>
      <c r="N146" s="48" t="str">
        <f aca="false">IFERROR(IF(G146="","",M146/G146),"")</f>
        <v/>
      </c>
      <c r="O146" s="39"/>
      <c r="P146" s="39"/>
      <c r="Q146" s="39"/>
      <c r="R146" s="39"/>
      <c r="S146" s="48" t="n">
        <f aca="false">IFERROR(VLOOKUP(H146,Settings!B14:C25,2,FALSE()),0)</f>
        <v>0</v>
      </c>
    </row>
    <row r="147" customFormat="false" ht="15" hidden="false" customHeight="false" outlineLevel="0" collapsed="false">
      <c r="A147" s="41" t="str">
        <f aca="false">IF(B147="","",ROW()-3)</f>
        <v/>
      </c>
      <c r="B147" s="42"/>
      <c r="G147" s="44"/>
      <c r="I147" s="44" t="n">
        <f aca="false">IF(G147="",0,G147*S147)</f>
        <v>0</v>
      </c>
      <c r="J147" s="44"/>
      <c r="K147" s="44" t="n">
        <f aca="false">IF(G147="",0,G147-I147-IF(J147="",0,J147))</f>
        <v>0</v>
      </c>
      <c r="L147" s="44" t="n">
        <f aca="false">IF(O147="",0,IFERROR(INDEX(Purchases!I:I,MATCH(O147*1,Purchases!A:A,0)),0))</f>
        <v>0</v>
      </c>
      <c r="M147" s="44" t="n">
        <f aca="false">IF(G147="",0,K147-L147)</f>
        <v>0</v>
      </c>
      <c r="N147" s="49" t="str">
        <f aca="false">IFERROR(IF(G147="","",M147/G147),"")</f>
        <v/>
      </c>
      <c r="S147" s="49" t="n">
        <f aca="false">IFERROR(VLOOKUP(H147,Settings!B14:C25,2,FALSE()),0)</f>
        <v>0</v>
      </c>
    </row>
    <row r="148" customFormat="false" ht="15" hidden="false" customHeight="false" outlineLevel="0" collapsed="false">
      <c r="A148" s="37" t="str">
        <f aca="false">IF(B148="","",ROW()-3)</f>
        <v/>
      </c>
      <c r="B148" s="38"/>
      <c r="C148" s="39"/>
      <c r="D148" s="39"/>
      <c r="E148" s="39"/>
      <c r="F148" s="39"/>
      <c r="G148" s="40"/>
      <c r="H148" s="39"/>
      <c r="I148" s="40" t="n">
        <f aca="false">IF(G148="",0,G148*S148)</f>
        <v>0</v>
      </c>
      <c r="J148" s="40"/>
      <c r="K148" s="40" t="n">
        <f aca="false">IF(G148="",0,G148-I148-IF(J148="",0,J148))</f>
        <v>0</v>
      </c>
      <c r="L148" s="40" t="n">
        <f aca="false">IF(O148="",0,IFERROR(INDEX(Purchases!I:I,MATCH(O148*1,Purchases!A:A,0)),0))</f>
        <v>0</v>
      </c>
      <c r="M148" s="40" t="n">
        <f aca="false">IF(G148="",0,K148-L148)</f>
        <v>0</v>
      </c>
      <c r="N148" s="48" t="str">
        <f aca="false">IFERROR(IF(G148="","",M148/G148),"")</f>
        <v/>
      </c>
      <c r="O148" s="39"/>
      <c r="P148" s="39"/>
      <c r="Q148" s="39"/>
      <c r="R148" s="39"/>
      <c r="S148" s="48" t="n">
        <f aca="false">IFERROR(VLOOKUP(H148,Settings!B14:C25,2,FALSE()),0)</f>
        <v>0</v>
      </c>
    </row>
    <row r="149" customFormat="false" ht="15" hidden="false" customHeight="false" outlineLevel="0" collapsed="false">
      <c r="A149" s="41" t="str">
        <f aca="false">IF(B149="","",ROW()-3)</f>
        <v/>
      </c>
      <c r="B149" s="42"/>
      <c r="G149" s="44"/>
      <c r="I149" s="44" t="n">
        <f aca="false">IF(G149="",0,G149*S149)</f>
        <v>0</v>
      </c>
      <c r="J149" s="44"/>
      <c r="K149" s="44" t="n">
        <f aca="false">IF(G149="",0,G149-I149-IF(J149="",0,J149))</f>
        <v>0</v>
      </c>
      <c r="L149" s="44" t="n">
        <f aca="false">IF(O149="",0,IFERROR(INDEX(Purchases!I:I,MATCH(O149*1,Purchases!A:A,0)),0))</f>
        <v>0</v>
      </c>
      <c r="M149" s="44" t="n">
        <f aca="false">IF(G149="",0,K149-L149)</f>
        <v>0</v>
      </c>
      <c r="N149" s="49" t="str">
        <f aca="false">IFERROR(IF(G149="","",M149/G149),"")</f>
        <v/>
      </c>
      <c r="S149" s="49" t="n">
        <f aca="false">IFERROR(VLOOKUP(H149,Settings!B14:C25,2,FALSE()),0)</f>
        <v>0</v>
      </c>
    </row>
    <row r="150" customFormat="false" ht="15" hidden="false" customHeight="false" outlineLevel="0" collapsed="false">
      <c r="A150" s="37" t="str">
        <f aca="false">IF(B150="","",ROW()-3)</f>
        <v/>
      </c>
      <c r="B150" s="38"/>
      <c r="C150" s="39"/>
      <c r="D150" s="39"/>
      <c r="E150" s="39"/>
      <c r="F150" s="39"/>
      <c r="G150" s="40"/>
      <c r="H150" s="39"/>
      <c r="I150" s="40" t="n">
        <f aca="false">IF(G150="",0,G150*S150)</f>
        <v>0</v>
      </c>
      <c r="J150" s="40"/>
      <c r="K150" s="40" t="n">
        <f aca="false">IF(G150="",0,G150-I150-IF(J150="",0,J150))</f>
        <v>0</v>
      </c>
      <c r="L150" s="40" t="n">
        <f aca="false">IF(O150="",0,IFERROR(INDEX(Purchases!I:I,MATCH(O150*1,Purchases!A:A,0)),0))</f>
        <v>0</v>
      </c>
      <c r="M150" s="40" t="n">
        <f aca="false">IF(G150="",0,K150-L150)</f>
        <v>0</v>
      </c>
      <c r="N150" s="48" t="str">
        <f aca="false">IFERROR(IF(G150="","",M150/G150),"")</f>
        <v/>
      </c>
      <c r="O150" s="39"/>
      <c r="P150" s="39"/>
      <c r="Q150" s="39"/>
      <c r="R150" s="39"/>
      <c r="S150" s="48" t="n">
        <f aca="false">IFERROR(VLOOKUP(H150,Settings!B14:C25,2,FALSE()),0)</f>
        <v>0</v>
      </c>
    </row>
    <row r="151" customFormat="false" ht="15" hidden="false" customHeight="false" outlineLevel="0" collapsed="false">
      <c r="A151" s="41" t="str">
        <f aca="false">IF(B151="","",ROW()-3)</f>
        <v/>
      </c>
      <c r="B151" s="42"/>
      <c r="G151" s="44"/>
      <c r="I151" s="44" t="n">
        <f aca="false">IF(G151="",0,G151*S151)</f>
        <v>0</v>
      </c>
      <c r="J151" s="44"/>
      <c r="K151" s="44" t="n">
        <f aca="false">IF(G151="",0,G151-I151-IF(J151="",0,J151))</f>
        <v>0</v>
      </c>
      <c r="L151" s="44" t="n">
        <f aca="false">IF(O151="",0,IFERROR(INDEX(Purchases!I:I,MATCH(O151*1,Purchases!A:A,0)),0))</f>
        <v>0</v>
      </c>
      <c r="M151" s="44" t="n">
        <f aca="false">IF(G151="",0,K151-L151)</f>
        <v>0</v>
      </c>
      <c r="N151" s="49" t="str">
        <f aca="false">IFERROR(IF(G151="","",M151/G151),"")</f>
        <v/>
      </c>
      <c r="S151" s="49" t="n">
        <f aca="false">IFERROR(VLOOKUP(H151,Settings!B14:C25,2,FALSE()),0)</f>
        <v>0</v>
      </c>
    </row>
    <row r="152" customFormat="false" ht="15" hidden="false" customHeight="false" outlineLevel="0" collapsed="false">
      <c r="A152" s="37" t="str">
        <f aca="false">IF(B152="","",ROW()-3)</f>
        <v/>
      </c>
      <c r="B152" s="38"/>
      <c r="C152" s="39"/>
      <c r="D152" s="39"/>
      <c r="E152" s="39"/>
      <c r="F152" s="39"/>
      <c r="G152" s="40"/>
      <c r="H152" s="39"/>
      <c r="I152" s="40" t="n">
        <f aca="false">IF(G152="",0,G152*S152)</f>
        <v>0</v>
      </c>
      <c r="J152" s="40"/>
      <c r="K152" s="40" t="n">
        <f aca="false">IF(G152="",0,G152-I152-IF(J152="",0,J152))</f>
        <v>0</v>
      </c>
      <c r="L152" s="40" t="n">
        <f aca="false">IF(O152="",0,IFERROR(INDEX(Purchases!I:I,MATCH(O152*1,Purchases!A:A,0)),0))</f>
        <v>0</v>
      </c>
      <c r="M152" s="40" t="n">
        <f aca="false">IF(G152="",0,K152-L152)</f>
        <v>0</v>
      </c>
      <c r="N152" s="48" t="str">
        <f aca="false">IFERROR(IF(G152="","",M152/G152),"")</f>
        <v/>
      </c>
      <c r="O152" s="39"/>
      <c r="P152" s="39"/>
      <c r="Q152" s="39"/>
      <c r="R152" s="39"/>
      <c r="S152" s="48" t="n">
        <f aca="false">IFERROR(VLOOKUP(H152,Settings!B14:C25,2,FALSE()),0)</f>
        <v>0</v>
      </c>
    </row>
    <row r="153" customFormat="false" ht="15" hidden="false" customHeight="false" outlineLevel="0" collapsed="false">
      <c r="A153" s="41" t="str">
        <f aca="false">IF(B153="","",ROW()-3)</f>
        <v/>
      </c>
      <c r="B153" s="42"/>
      <c r="G153" s="44"/>
      <c r="I153" s="44" t="n">
        <f aca="false">IF(G153="",0,G153*S153)</f>
        <v>0</v>
      </c>
      <c r="J153" s="44"/>
      <c r="K153" s="44" t="n">
        <f aca="false">IF(G153="",0,G153-I153-IF(J153="",0,J153))</f>
        <v>0</v>
      </c>
      <c r="L153" s="44" t="n">
        <f aca="false">IF(O153="",0,IFERROR(INDEX(Purchases!I:I,MATCH(O153*1,Purchases!A:A,0)),0))</f>
        <v>0</v>
      </c>
      <c r="M153" s="44" t="n">
        <f aca="false">IF(G153="",0,K153-L153)</f>
        <v>0</v>
      </c>
      <c r="N153" s="49" t="str">
        <f aca="false">IFERROR(IF(G153="","",M153/G153),"")</f>
        <v/>
      </c>
      <c r="S153" s="49" t="n">
        <f aca="false">IFERROR(VLOOKUP(H153,Settings!B14:C25,2,FALSE()),0)</f>
        <v>0</v>
      </c>
    </row>
    <row r="154" customFormat="false" ht="15" hidden="false" customHeight="false" outlineLevel="0" collapsed="false">
      <c r="A154" s="37" t="str">
        <f aca="false">IF(B154="","",ROW()-3)</f>
        <v/>
      </c>
      <c r="B154" s="38"/>
      <c r="C154" s="39"/>
      <c r="D154" s="39"/>
      <c r="E154" s="39"/>
      <c r="F154" s="39"/>
      <c r="G154" s="40"/>
      <c r="H154" s="39"/>
      <c r="I154" s="40" t="n">
        <f aca="false">IF(G154="",0,G154*S154)</f>
        <v>0</v>
      </c>
      <c r="J154" s="40"/>
      <c r="K154" s="40" t="n">
        <f aca="false">IF(G154="",0,G154-I154-IF(J154="",0,J154))</f>
        <v>0</v>
      </c>
      <c r="L154" s="40" t="n">
        <f aca="false">IF(O154="",0,IFERROR(INDEX(Purchases!I:I,MATCH(O154*1,Purchases!A:A,0)),0))</f>
        <v>0</v>
      </c>
      <c r="M154" s="40" t="n">
        <f aca="false">IF(G154="",0,K154-L154)</f>
        <v>0</v>
      </c>
      <c r="N154" s="48" t="str">
        <f aca="false">IFERROR(IF(G154="","",M154/G154),"")</f>
        <v/>
      </c>
      <c r="O154" s="39"/>
      <c r="P154" s="39"/>
      <c r="Q154" s="39"/>
      <c r="R154" s="39"/>
      <c r="S154" s="48" t="n">
        <f aca="false">IFERROR(VLOOKUP(H154,Settings!B14:C25,2,FALSE()),0)</f>
        <v>0</v>
      </c>
    </row>
    <row r="155" customFormat="false" ht="15" hidden="false" customHeight="false" outlineLevel="0" collapsed="false">
      <c r="A155" s="41" t="str">
        <f aca="false">IF(B155="","",ROW()-3)</f>
        <v/>
      </c>
      <c r="B155" s="42"/>
      <c r="G155" s="44"/>
      <c r="I155" s="44" t="n">
        <f aca="false">IF(G155="",0,G155*S155)</f>
        <v>0</v>
      </c>
      <c r="J155" s="44"/>
      <c r="K155" s="44" t="n">
        <f aca="false">IF(G155="",0,G155-I155-IF(J155="",0,J155))</f>
        <v>0</v>
      </c>
      <c r="L155" s="44" t="n">
        <f aca="false">IF(O155="",0,IFERROR(INDEX(Purchases!I:I,MATCH(O155*1,Purchases!A:A,0)),0))</f>
        <v>0</v>
      </c>
      <c r="M155" s="44" t="n">
        <f aca="false">IF(G155="",0,K155-L155)</f>
        <v>0</v>
      </c>
      <c r="N155" s="49" t="str">
        <f aca="false">IFERROR(IF(G155="","",M155/G155),"")</f>
        <v/>
      </c>
      <c r="S155" s="49" t="n">
        <f aca="false">IFERROR(VLOOKUP(H155,Settings!B14:C25,2,FALSE()),0)</f>
        <v>0</v>
      </c>
    </row>
    <row r="156" customFormat="false" ht="15" hidden="false" customHeight="false" outlineLevel="0" collapsed="false">
      <c r="A156" s="37" t="str">
        <f aca="false">IF(B156="","",ROW()-3)</f>
        <v/>
      </c>
      <c r="B156" s="38"/>
      <c r="C156" s="39"/>
      <c r="D156" s="39"/>
      <c r="E156" s="39"/>
      <c r="F156" s="39"/>
      <c r="G156" s="40"/>
      <c r="H156" s="39"/>
      <c r="I156" s="40" t="n">
        <f aca="false">IF(G156="",0,G156*S156)</f>
        <v>0</v>
      </c>
      <c r="J156" s="40"/>
      <c r="K156" s="40" t="n">
        <f aca="false">IF(G156="",0,G156-I156-IF(J156="",0,J156))</f>
        <v>0</v>
      </c>
      <c r="L156" s="40" t="n">
        <f aca="false">IF(O156="",0,IFERROR(INDEX(Purchases!I:I,MATCH(O156*1,Purchases!A:A,0)),0))</f>
        <v>0</v>
      </c>
      <c r="M156" s="40" t="n">
        <f aca="false">IF(G156="",0,K156-L156)</f>
        <v>0</v>
      </c>
      <c r="N156" s="48" t="str">
        <f aca="false">IFERROR(IF(G156="","",M156/G156),"")</f>
        <v/>
      </c>
      <c r="O156" s="39"/>
      <c r="P156" s="39"/>
      <c r="Q156" s="39"/>
      <c r="R156" s="39"/>
      <c r="S156" s="48" t="n">
        <f aca="false">IFERROR(VLOOKUP(H156,Settings!B14:C25,2,FALSE()),0)</f>
        <v>0</v>
      </c>
    </row>
    <row r="157" customFormat="false" ht="15" hidden="false" customHeight="false" outlineLevel="0" collapsed="false">
      <c r="A157" s="41" t="str">
        <f aca="false">IF(B157="","",ROW()-3)</f>
        <v/>
      </c>
      <c r="B157" s="42"/>
      <c r="G157" s="44"/>
      <c r="I157" s="44" t="n">
        <f aca="false">IF(G157="",0,G157*S157)</f>
        <v>0</v>
      </c>
      <c r="J157" s="44"/>
      <c r="K157" s="44" t="n">
        <f aca="false">IF(G157="",0,G157-I157-IF(J157="",0,J157))</f>
        <v>0</v>
      </c>
      <c r="L157" s="44" t="n">
        <f aca="false">IF(O157="",0,IFERROR(INDEX(Purchases!I:I,MATCH(O157*1,Purchases!A:A,0)),0))</f>
        <v>0</v>
      </c>
      <c r="M157" s="44" t="n">
        <f aca="false">IF(G157="",0,K157-L157)</f>
        <v>0</v>
      </c>
      <c r="N157" s="49" t="str">
        <f aca="false">IFERROR(IF(G157="","",M157/G157),"")</f>
        <v/>
      </c>
      <c r="S157" s="49" t="n">
        <f aca="false">IFERROR(VLOOKUP(H157,Settings!B14:C25,2,FALSE()),0)</f>
        <v>0</v>
      </c>
    </row>
    <row r="158" customFormat="false" ht="15" hidden="false" customHeight="false" outlineLevel="0" collapsed="false">
      <c r="A158" s="37" t="str">
        <f aca="false">IF(B158="","",ROW()-3)</f>
        <v/>
      </c>
      <c r="B158" s="38"/>
      <c r="C158" s="39"/>
      <c r="D158" s="39"/>
      <c r="E158" s="39"/>
      <c r="F158" s="39"/>
      <c r="G158" s="40"/>
      <c r="H158" s="39"/>
      <c r="I158" s="40" t="n">
        <f aca="false">IF(G158="",0,G158*S158)</f>
        <v>0</v>
      </c>
      <c r="J158" s="40"/>
      <c r="K158" s="40" t="n">
        <f aca="false">IF(G158="",0,G158-I158-IF(J158="",0,J158))</f>
        <v>0</v>
      </c>
      <c r="L158" s="40" t="n">
        <f aca="false">IF(O158="",0,IFERROR(INDEX(Purchases!I:I,MATCH(O158*1,Purchases!A:A,0)),0))</f>
        <v>0</v>
      </c>
      <c r="M158" s="40" t="n">
        <f aca="false">IF(G158="",0,K158-L158)</f>
        <v>0</v>
      </c>
      <c r="N158" s="48" t="str">
        <f aca="false">IFERROR(IF(G158="","",M158/G158),"")</f>
        <v/>
      </c>
      <c r="O158" s="39"/>
      <c r="P158" s="39"/>
      <c r="Q158" s="39"/>
      <c r="R158" s="39"/>
      <c r="S158" s="48" t="n">
        <f aca="false">IFERROR(VLOOKUP(H158,Settings!B14:C25,2,FALSE()),0)</f>
        <v>0</v>
      </c>
    </row>
    <row r="159" customFormat="false" ht="15" hidden="false" customHeight="false" outlineLevel="0" collapsed="false">
      <c r="A159" s="41" t="str">
        <f aca="false">IF(B159="","",ROW()-3)</f>
        <v/>
      </c>
      <c r="B159" s="42"/>
      <c r="G159" s="44"/>
      <c r="I159" s="44" t="n">
        <f aca="false">IF(G159="",0,G159*S159)</f>
        <v>0</v>
      </c>
      <c r="J159" s="44"/>
      <c r="K159" s="44" t="n">
        <f aca="false">IF(G159="",0,G159-I159-IF(J159="",0,J159))</f>
        <v>0</v>
      </c>
      <c r="L159" s="44" t="n">
        <f aca="false">IF(O159="",0,IFERROR(INDEX(Purchases!I:I,MATCH(O159*1,Purchases!A:A,0)),0))</f>
        <v>0</v>
      </c>
      <c r="M159" s="44" t="n">
        <f aca="false">IF(G159="",0,K159-L159)</f>
        <v>0</v>
      </c>
      <c r="N159" s="49" t="str">
        <f aca="false">IFERROR(IF(G159="","",M159/G159),"")</f>
        <v/>
      </c>
      <c r="S159" s="49" t="n">
        <f aca="false">IFERROR(VLOOKUP(H159,Settings!B14:C25,2,FALSE()),0)</f>
        <v>0</v>
      </c>
    </row>
    <row r="160" customFormat="false" ht="15" hidden="false" customHeight="false" outlineLevel="0" collapsed="false">
      <c r="A160" s="37" t="str">
        <f aca="false">IF(B160="","",ROW()-3)</f>
        <v/>
      </c>
      <c r="B160" s="38"/>
      <c r="C160" s="39"/>
      <c r="D160" s="39"/>
      <c r="E160" s="39"/>
      <c r="F160" s="39"/>
      <c r="G160" s="40"/>
      <c r="H160" s="39"/>
      <c r="I160" s="40" t="n">
        <f aca="false">IF(G160="",0,G160*S160)</f>
        <v>0</v>
      </c>
      <c r="J160" s="40"/>
      <c r="K160" s="40" t="n">
        <f aca="false">IF(G160="",0,G160-I160-IF(J160="",0,J160))</f>
        <v>0</v>
      </c>
      <c r="L160" s="40" t="n">
        <f aca="false">IF(O160="",0,IFERROR(INDEX(Purchases!I:I,MATCH(O160*1,Purchases!A:A,0)),0))</f>
        <v>0</v>
      </c>
      <c r="M160" s="40" t="n">
        <f aca="false">IF(G160="",0,K160-L160)</f>
        <v>0</v>
      </c>
      <c r="N160" s="48" t="str">
        <f aca="false">IFERROR(IF(G160="","",M160/G160),"")</f>
        <v/>
      </c>
      <c r="O160" s="39"/>
      <c r="P160" s="39"/>
      <c r="Q160" s="39"/>
      <c r="R160" s="39"/>
      <c r="S160" s="48" t="n">
        <f aca="false">IFERROR(VLOOKUP(H160,Settings!B14:C25,2,FALSE()),0)</f>
        <v>0</v>
      </c>
    </row>
    <row r="161" customFormat="false" ht="15" hidden="false" customHeight="false" outlineLevel="0" collapsed="false">
      <c r="A161" s="41" t="str">
        <f aca="false">IF(B161="","",ROW()-3)</f>
        <v/>
      </c>
      <c r="B161" s="42"/>
      <c r="G161" s="44"/>
      <c r="I161" s="44" t="n">
        <f aca="false">IF(G161="",0,G161*S161)</f>
        <v>0</v>
      </c>
      <c r="J161" s="44"/>
      <c r="K161" s="44" t="n">
        <f aca="false">IF(G161="",0,G161-I161-IF(J161="",0,J161))</f>
        <v>0</v>
      </c>
      <c r="L161" s="44" t="n">
        <f aca="false">IF(O161="",0,IFERROR(INDEX(Purchases!I:I,MATCH(O161*1,Purchases!A:A,0)),0))</f>
        <v>0</v>
      </c>
      <c r="M161" s="44" t="n">
        <f aca="false">IF(G161="",0,K161-L161)</f>
        <v>0</v>
      </c>
      <c r="N161" s="49" t="str">
        <f aca="false">IFERROR(IF(G161="","",M161/G161),"")</f>
        <v/>
      </c>
      <c r="S161" s="49" t="n">
        <f aca="false">IFERROR(VLOOKUP(H161,Settings!B14:C25,2,FALSE()),0)</f>
        <v>0</v>
      </c>
    </row>
    <row r="162" customFormat="false" ht="15" hidden="false" customHeight="false" outlineLevel="0" collapsed="false">
      <c r="A162" s="37" t="str">
        <f aca="false">IF(B162="","",ROW()-3)</f>
        <v/>
      </c>
      <c r="B162" s="38"/>
      <c r="C162" s="39"/>
      <c r="D162" s="39"/>
      <c r="E162" s="39"/>
      <c r="F162" s="39"/>
      <c r="G162" s="40"/>
      <c r="H162" s="39"/>
      <c r="I162" s="40" t="n">
        <f aca="false">IF(G162="",0,G162*S162)</f>
        <v>0</v>
      </c>
      <c r="J162" s="40"/>
      <c r="K162" s="40" t="n">
        <f aca="false">IF(G162="",0,G162-I162-IF(J162="",0,J162))</f>
        <v>0</v>
      </c>
      <c r="L162" s="40" t="n">
        <f aca="false">IF(O162="",0,IFERROR(INDEX(Purchases!I:I,MATCH(O162*1,Purchases!A:A,0)),0))</f>
        <v>0</v>
      </c>
      <c r="M162" s="40" t="n">
        <f aca="false">IF(G162="",0,K162-L162)</f>
        <v>0</v>
      </c>
      <c r="N162" s="48" t="str">
        <f aca="false">IFERROR(IF(G162="","",M162/G162),"")</f>
        <v/>
      </c>
      <c r="O162" s="39"/>
      <c r="P162" s="39"/>
      <c r="Q162" s="39"/>
      <c r="R162" s="39"/>
      <c r="S162" s="48" t="n">
        <f aca="false">IFERROR(VLOOKUP(H162,Settings!B14:C25,2,FALSE()),0)</f>
        <v>0</v>
      </c>
    </row>
    <row r="163" customFormat="false" ht="15" hidden="false" customHeight="false" outlineLevel="0" collapsed="false">
      <c r="A163" s="41" t="str">
        <f aca="false">IF(B163="","",ROW()-3)</f>
        <v/>
      </c>
      <c r="B163" s="42"/>
      <c r="G163" s="44"/>
      <c r="I163" s="44" t="n">
        <f aca="false">IF(G163="",0,G163*S163)</f>
        <v>0</v>
      </c>
      <c r="J163" s="44"/>
      <c r="K163" s="44" t="n">
        <f aca="false">IF(G163="",0,G163-I163-IF(J163="",0,J163))</f>
        <v>0</v>
      </c>
      <c r="L163" s="44" t="n">
        <f aca="false">IF(O163="",0,IFERROR(INDEX(Purchases!I:I,MATCH(O163*1,Purchases!A:A,0)),0))</f>
        <v>0</v>
      </c>
      <c r="M163" s="44" t="n">
        <f aca="false">IF(G163="",0,K163-L163)</f>
        <v>0</v>
      </c>
      <c r="N163" s="49" t="str">
        <f aca="false">IFERROR(IF(G163="","",M163/G163),"")</f>
        <v/>
      </c>
      <c r="S163" s="49" t="n">
        <f aca="false">IFERROR(VLOOKUP(H163,Settings!B14:C25,2,FALSE()),0)</f>
        <v>0</v>
      </c>
    </row>
    <row r="164" customFormat="false" ht="15" hidden="false" customHeight="false" outlineLevel="0" collapsed="false">
      <c r="A164" s="37" t="str">
        <f aca="false">IF(B164="","",ROW()-3)</f>
        <v/>
      </c>
      <c r="B164" s="38"/>
      <c r="C164" s="39"/>
      <c r="D164" s="39"/>
      <c r="E164" s="39"/>
      <c r="F164" s="39"/>
      <c r="G164" s="40"/>
      <c r="H164" s="39"/>
      <c r="I164" s="40" t="n">
        <f aca="false">IF(G164="",0,G164*S164)</f>
        <v>0</v>
      </c>
      <c r="J164" s="40"/>
      <c r="K164" s="40" t="n">
        <f aca="false">IF(G164="",0,G164-I164-IF(J164="",0,J164))</f>
        <v>0</v>
      </c>
      <c r="L164" s="40" t="n">
        <f aca="false">IF(O164="",0,IFERROR(INDEX(Purchases!I:I,MATCH(O164*1,Purchases!A:A,0)),0))</f>
        <v>0</v>
      </c>
      <c r="M164" s="40" t="n">
        <f aca="false">IF(G164="",0,K164-L164)</f>
        <v>0</v>
      </c>
      <c r="N164" s="48" t="str">
        <f aca="false">IFERROR(IF(G164="","",M164/G164),"")</f>
        <v/>
      </c>
      <c r="O164" s="39"/>
      <c r="P164" s="39"/>
      <c r="Q164" s="39"/>
      <c r="R164" s="39"/>
      <c r="S164" s="48" t="n">
        <f aca="false">IFERROR(VLOOKUP(H164,Settings!B14:C25,2,FALSE()),0)</f>
        <v>0</v>
      </c>
    </row>
    <row r="165" customFormat="false" ht="15" hidden="false" customHeight="false" outlineLevel="0" collapsed="false">
      <c r="A165" s="41" t="str">
        <f aca="false">IF(B165="","",ROW()-3)</f>
        <v/>
      </c>
      <c r="B165" s="42"/>
      <c r="G165" s="44"/>
      <c r="I165" s="44" t="n">
        <f aca="false">IF(G165="",0,G165*S165)</f>
        <v>0</v>
      </c>
      <c r="J165" s="44"/>
      <c r="K165" s="44" t="n">
        <f aca="false">IF(G165="",0,G165-I165-IF(J165="",0,J165))</f>
        <v>0</v>
      </c>
      <c r="L165" s="44" t="n">
        <f aca="false">IF(O165="",0,IFERROR(INDEX(Purchases!I:I,MATCH(O165*1,Purchases!A:A,0)),0))</f>
        <v>0</v>
      </c>
      <c r="M165" s="44" t="n">
        <f aca="false">IF(G165="",0,K165-L165)</f>
        <v>0</v>
      </c>
      <c r="N165" s="49" t="str">
        <f aca="false">IFERROR(IF(G165="","",M165/G165),"")</f>
        <v/>
      </c>
      <c r="S165" s="49" t="n">
        <f aca="false">IFERROR(VLOOKUP(H165,Settings!B14:C25,2,FALSE()),0)</f>
        <v>0</v>
      </c>
    </row>
    <row r="166" customFormat="false" ht="15" hidden="false" customHeight="false" outlineLevel="0" collapsed="false">
      <c r="A166" s="37" t="str">
        <f aca="false">IF(B166="","",ROW()-3)</f>
        <v/>
      </c>
      <c r="B166" s="38"/>
      <c r="C166" s="39"/>
      <c r="D166" s="39"/>
      <c r="E166" s="39"/>
      <c r="F166" s="39"/>
      <c r="G166" s="40"/>
      <c r="H166" s="39"/>
      <c r="I166" s="40" t="n">
        <f aca="false">IF(G166="",0,G166*S166)</f>
        <v>0</v>
      </c>
      <c r="J166" s="40"/>
      <c r="K166" s="40" t="n">
        <f aca="false">IF(G166="",0,G166-I166-IF(J166="",0,J166))</f>
        <v>0</v>
      </c>
      <c r="L166" s="40" t="n">
        <f aca="false">IF(O166="",0,IFERROR(INDEX(Purchases!I:I,MATCH(O166*1,Purchases!A:A,0)),0))</f>
        <v>0</v>
      </c>
      <c r="M166" s="40" t="n">
        <f aca="false">IF(G166="",0,K166-L166)</f>
        <v>0</v>
      </c>
      <c r="N166" s="48" t="str">
        <f aca="false">IFERROR(IF(G166="","",M166/G166),"")</f>
        <v/>
      </c>
      <c r="O166" s="39"/>
      <c r="P166" s="39"/>
      <c r="Q166" s="39"/>
      <c r="R166" s="39"/>
      <c r="S166" s="48" t="n">
        <f aca="false">IFERROR(VLOOKUP(H166,Settings!B14:C25,2,FALSE()),0)</f>
        <v>0</v>
      </c>
    </row>
    <row r="167" customFormat="false" ht="15" hidden="false" customHeight="false" outlineLevel="0" collapsed="false">
      <c r="A167" s="41" t="str">
        <f aca="false">IF(B167="","",ROW()-3)</f>
        <v/>
      </c>
      <c r="B167" s="42"/>
      <c r="G167" s="44"/>
      <c r="I167" s="44" t="n">
        <f aca="false">IF(G167="",0,G167*S167)</f>
        <v>0</v>
      </c>
      <c r="J167" s="44"/>
      <c r="K167" s="44" t="n">
        <f aca="false">IF(G167="",0,G167-I167-IF(J167="",0,J167))</f>
        <v>0</v>
      </c>
      <c r="L167" s="44" t="n">
        <f aca="false">IF(O167="",0,IFERROR(INDEX(Purchases!I:I,MATCH(O167*1,Purchases!A:A,0)),0))</f>
        <v>0</v>
      </c>
      <c r="M167" s="44" t="n">
        <f aca="false">IF(G167="",0,K167-L167)</f>
        <v>0</v>
      </c>
      <c r="N167" s="49" t="str">
        <f aca="false">IFERROR(IF(G167="","",M167/G167),"")</f>
        <v/>
      </c>
      <c r="S167" s="49" t="n">
        <f aca="false">IFERROR(VLOOKUP(H167,Settings!B14:C25,2,FALSE()),0)</f>
        <v>0</v>
      </c>
    </row>
    <row r="168" customFormat="false" ht="15" hidden="false" customHeight="false" outlineLevel="0" collapsed="false">
      <c r="A168" s="37" t="str">
        <f aca="false">IF(B168="","",ROW()-3)</f>
        <v/>
      </c>
      <c r="B168" s="38"/>
      <c r="C168" s="39"/>
      <c r="D168" s="39"/>
      <c r="E168" s="39"/>
      <c r="F168" s="39"/>
      <c r="G168" s="40"/>
      <c r="H168" s="39"/>
      <c r="I168" s="40" t="n">
        <f aca="false">IF(G168="",0,G168*S168)</f>
        <v>0</v>
      </c>
      <c r="J168" s="40"/>
      <c r="K168" s="40" t="n">
        <f aca="false">IF(G168="",0,G168-I168-IF(J168="",0,J168))</f>
        <v>0</v>
      </c>
      <c r="L168" s="40" t="n">
        <f aca="false">IF(O168="",0,IFERROR(INDEX(Purchases!I:I,MATCH(O168*1,Purchases!A:A,0)),0))</f>
        <v>0</v>
      </c>
      <c r="M168" s="40" t="n">
        <f aca="false">IF(G168="",0,K168-L168)</f>
        <v>0</v>
      </c>
      <c r="N168" s="48" t="str">
        <f aca="false">IFERROR(IF(G168="","",M168/G168),"")</f>
        <v/>
      </c>
      <c r="O168" s="39"/>
      <c r="P168" s="39"/>
      <c r="Q168" s="39"/>
      <c r="R168" s="39"/>
      <c r="S168" s="48" t="n">
        <f aca="false">IFERROR(VLOOKUP(H168,Settings!B14:C25,2,FALSE()),0)</f>
        <v>0</v>
      </c>
    </row>
    <row r="169" customFormat="false" ht="15" hidden="false" customHeight="false" outlineLevel="0" collapsed="false">
      <c r="A169" s="41" t="str">
        <f aca="false">IF(B169="","",ROW()-3)</f>
        <v/>
      </c>
      <c r="B169" s="42"/>
      <c r="G169" s="44"/>
      <c r="I169" s="44" t="n">
        <f aca="false">IF(G169="",0,G169*S169)</f>
        <v>0</v>
      </c>
      <c r="J169" s="44"/>
      <c r="K169" s="44" t="n">
        <f aca="false">IF(G169="",0,G169-I169-IF(J169="",0,J169))</f>
        <v>0</v>
      </c>
      <c r="L169" s="44" t="n">
        <f aca="false">IF(O169="",0,IFERROR(INDEX(Purchases!I:I,MATCH(O169*1,Purchases!A:A,0)),0))</f>
        <v>0</v>
      </c>
      <c r="M169" s="44" t="n">
        <f aca="false">IF(G169="",0,K169-L169)</f>
        <v>0</v>
      </c>
      <c r="N169" s="49" t="str">
        <f aca="false">IFERROR(IF(G169="","",M169/G169),"")</f>
        <v/>
      </c>
      <c r="S169" s="49" t="n">
        <f aca="false">IFERROR(VLOOKUP(H169,Settings!B14:C25,2,FALSE()),0)</f>
        <v>0</v>
      </c>
    </row>
    <row r="170" customFormat="false" ht="15" hidden="false" customHeight="false" outlineLevel="0" collapsed="false">
      <c r="A170" s="37" t="str">
        <f aca="false">IF(B170="","",ROW()-3)</f>
        <v/>
      </c>
      <c r="B170" s="38"/>
      <c r="C170" s="39"/>
      <c r="D170" s="39"/>
      <c r="E170" s="39"/>
      <c r="F170" s="39"/>
      <c r="G170" s="40"/>
      <c r="H170" s="39"/>
      <c r="I170" s="40" t="n">
        <f aca="false">IF(G170="",0,G170*S170)</f>
        <v>0</v>
      </c>
      <c r="J170" s="40"/>
      <c r="K170" s="40" t="n">
        <f aca="false">IF(G170="",0,G170-I170-IF(J170="",0,J170))</f>
        <v>0</v>
      </c>
      <c r="L170" s="40" t="n">
        <f aca="false">IF(O170="",0,IFERROR(INDEX(Purchases!I:I,MATCH(O170*1,Purchases!A:A,0)),0))</f>
        <v>0</v>
      </c>
      <c r="M170" s="40" t="n">
        <f aca="false">IF(G170="",0,K170-L170)</f>
        <v>0</v>
      </c>
      <c r="N170" s="48" t="str">
        <f aca="false">IFERROR(IF(G170="","",M170/G170),"")</f>
        <v/>
      </c>
      <c r="O170" s="39"/>
      <c r="P170" s="39"/>
      <c r="Q170" s="39"/>
      <c r="R170" s="39"/>
      <c r="S170" s="48" t="n">
        <f aca="false">IFERROR(VLOOKUP(H170,Settings!B14:C25,2,FALSE()),0)</f>
        <v>0</v>
      </c>
    </row>
    <row r="171" customFormat="false" ht="15" hidden="false" customHeight="false" outlineLevel="0" collapsed="false">
      <c r="A171" s="41" t="str">
        <f aca="false">IF(B171="","",ROW()-3)</f>
        <v/>
      </c>
      <c r="B171" s="42"/>
      <c r="G171" s="44"/>
      <c r="I171" s="44" t="n">
        <f aca="false">IF(G171="",0,G171*S171)</f>
        <v>0</v>
      </c>
      <c r="J171" s="44"/>
      <c r="K171" s="44" t="n">
        <f aca="false">IF(G171="",0,G171-I171-IF(J171="",0,J171))</f>
        <v>0</v>
      </c>
      <c r="L171" s="44" t="n">
        <f aca="false">IF(O171="",0,IFERROR(INDEX(Purchases!I:I,MATCH(O171*1,Purchases!A:A,0)),0))</f>
        <v>0</v>
      </c>
      <c r="M171" s="44" t="n">
        <f aca="false">IF(G171="",0,K171-L171)</f>
        <v>0</v>
      </c>
      <c r="N171" s="49" t="str">
        <f aca="false">IFERROR(IF(G171="","",M171/G171),"")</f>
        <v/>
      </c>
      <c r="S171" s="49" t="n">
        <f aca="false">IFERROR(VLOOKUP(H171,Settings!B14:C25,2,FALSE()),0)</f>
        <v>0</v>
      </c>
    </row>
    <row r="172" customFormat="false" ht="15" hidden="false" customHeight="false" outlineLevel="0" collapsed="false">
      <c r="A172" s="37" t="str">
        <f aca="false">IF(B172="","",ROW()-3)</f>
        <v/>
      </c>
      <c r="B172" s="38"/>
      <c r="C172" s="39"/>
      <c r="D172" s="39"/>
      <c r="E172" s="39"/>
      <c r="F172" s="39"/>
      <c r="G172" s="40"/>
      <c r="H172" s="39"/>
      <c r="I172" s="40" t="n">
        <f aca="false">IF(G172="",0,G172*S172)</f>
        <v>0</v>
      </c>
      <c r="J172" s="40"/>
      <c r="K172" s="40" t="n">
        <f aca="false">IF(G172="",0,G172-I172-IF(J172="",0,J172))</f>
        <v>0</v>
      </c>
      <c r="L172" s="40" t="n">
        <f aca="false">IF(O172="",0,IFERROR(INDEX(Purchases!I:I,MATCH(O172*1,Purchases!A:A,0)),0))</f>
        <v>0</v>
      </c>
      <c r="M172" s="40" t="n">
        <f aca="false">IF(G172="",0,K172-L172)</f>
        <v>0</v>
      </c>
      <c r="N172" s="48" t="str">
        <f aca="false">IFERROR(IF(G172="","",M172/G172),"")</f>
        <v/>
      </c>
      <c r="O172" s="39"/>
      <c r="P172" s="39"/>
      <c r="Q172" s="39"/>
      <c r="R172" s="39"/>
      <c r="S172" s="48" t="n">
        <f aca="false">IFERROR(VLOOKUP(H172,Settings!B14:C25,2,FALSE()),0)</f>
        <v>0</v>
      </c>
    </row>
    <row r="173" customFormat="false" ht="15" hidden="false" customHeight="false" outlineLevel="0" collapsed="false">
      <c r="A173" s="41" t="str">
        <f aca="false">IF(B173="","",ROW()-3)</f>
        <v/>
      </c>
      <c r="B173" s="42"/>
      <c r="G173" s="44"/>
      <c r="I173" s="44" t="n">
        <f aca="false">IF(G173="",0,G173*S173)</f>
        <v>0</v>
      </c>
      <c r="J173" s="44"/>
      <c r="K173" s="44" t="n">
        <f aca="false">IF(G173="",0,G173-I173-IF(J173="",0,J173))</f>
        <v>0</v>
      </c>
      <c r="L173" s="44" t="n">
        <f aca="false">IF(O173="",0,IFERROR(INDEX(Purchases!I:I,MATCH(O173*1,Purchases!A:A,0)),0))</f>
        <v>0</v>
      </c>
      <c r="M173" s="44" t="n">
        <f aca="false">IF(G173="",0,K173-L173)</f>
        <v>0</v>
      </c>
      <c r="N173" s="49" t="str">
        <f aca="false">IFERROR(IF(G173="","",M173/G173),"")</f>
        <v/>
      </c>
      <c r="S173" s="49" t="n">
        <f aca="false">IFERROR(VLOOKUP(H173,Settings!B14:C25,2,FALSE()),0)</f>
        <v>0</v>
      </c>
    </row>
    <row r="174" customFormat="false" ht="15" hidden="false" customHeight="false" outlineLevel="0" collapsed="false">
      <c r="A174" s="37" t="str">
        <f aca="false">IF(B174="","",ROW()-3)</f>
        <v/>
      </c>
      <c r="B174" s="38"/>
      <c r="C174" s="39"/>
      <c r="D174" s="39"/>
      <c r="E174" s="39"/>
      <c r="F174" s="39"/>
      <c r="G174" s="40"/>
      <c r="H174" s="39"/>
      <c r="I174" s="40" t="n">
        <f aca="false">IF(G174="",0,G174*S174)</f>
        <v>0</v>
      </c>
      <c r="J174" s="40"/>
      <c r="K174" s="40" t="n">
        <f aca="false">IF(G174="",0,G174-I174-IF(J174="",0,J174))</f>
        <v>0</v>
      </c>
      <c r="L174" s="40" t="n">
        <f aca="false">IF(O174="",0,IFERROR(INDEX(Purchases!I:I,MATCH(O174*1,Purchases!A:A,0)),0))</f>
        <v>0</v>
      </c>
      <c r="M174" s="40" t="n">
        <f aca="false">IF(G174="",0,K174-L174)</f>
        <v>0</v>
      </c>
      <c r="N174" s="48" t="str">
        <f aca="false">IFERROR(IF(G174="","",M174/G174),"")</f>
        <v/>
      </c>
      <c r="O174" s="39"/>
      <c r="P174" s="39"/>
      <c r="Q174" s="39"/>
      <c r="R174" s="39"/>
      <c r="S174" s="48" t="n">
        <f aca="false">IFERROR(VLOOKUP(H174,Settings!B14:C25,2,FALSE()),0)</f>
        <v>0</v>
      </c>
    </row>
    <row r="175" customFormat="false" ht="15" hidden="false" customHeight="false" outlineLevel="0" collapsed="false">
      <c r="A175" s="41" t="str">
        <f aca="false">IF(B175="","",ROW()-3)</f>
        <v/>
      </c>
      <c r="B175" s="42"/>
      <c r="G175" s="44"/>
      <c r="I175" s="44" t="n">
        <f aca="false">IF(G175="",0,G175*S175)</f>
        <v>0</v>
      </c>
      <c r="J175" s="44"/>
      <c r="K175" s="44" t="n">
        <f aca="false">IF(G175="",0,G175-I175-IF(J175="",0,J175))</f>
        <v>0</v>
      </c>
      <c r="L175" s="44" t="n">
        <f aca="false">IF(O175="",0,IFERROR(INDEX(Purchases!I:I,MATCH(O175*1,Purchases!A:A,0)),0))</f>
        <v>0</v>
      </c>
      <c r="M175" s="44" t="n">
        <f aca="false">IF(G175="",0,K175-L175)</f>
        <v>0</v>
      </c>
      <c r="N175" s="49" t="str">
        <f aca="false">IFERROR(IF(G175="","",M175/G175),"")</f>
        <v/>
      </c>
      <c r="S175" s="49" t="n">
        <f aca="false">IFERROR(VLOOKUP(H175,Settings!B14:C25,2,FALSE()),0)</f>
        <v>0</v>
      </c>
    </row>
    <row r="176" customFormat="false" ht="15" hidden="false" customHeight="false" outlineLevel="0" collapsed="false">
      <c r="A176" s="37" t="str">
        <f aca="false">IF(B176="","",ROW()-3)</f>
        <v/>
      </c>
      <c r="B176" s="38"/>
      <c r="C176" s="39"/>
      <c r="D176" s="39"/>
      <c r="E176" s="39"/>
      <c r="F176" s="39"/>
      <c r="G176" s="40"/>
      <c r="H176" s="39"/>
      <c r="I176" s="40" t="n">
        <f aca="false">IF(G176="",0,G176*S176)</f>
        <v>0</v>
      </c>
      <c r="J176" s="40"/>
      <c r="K176" s="40" t="n">
        <f aca="false">IF(G176="",0,G176-I176-IF(J176="",0,J176))</f>
        <v>0</v>
      </c>
      <c r="L176" s="40" t="n">
        <f aca="false">IF(O176="",0,IFERROR(INDEX(Purchases!I:I,MATCH(O176*1,Purchases!A:A,0)),0))</f>
        <v>0</v>
      </c>
      <c r="M176" s="40" t="n">
        <f aca="false">IF(G176="",0,K176-L176)</f>
        <v>0</v>
      </c>
      <c r="N176" s="48" t="str">
        <f aca="false">IFERROR(IF(G176="","",M176/G176),"")</f>
        <v/>
      </c>
      <c r="O176" s="39"/>
      <c r="P176" s="39"/>
      <c r="Q176" s="39"/>
      <c r="R176" s="39"/>
      <c r="S176" s="48" t="n">
        <f aca="false">IFERROR(VLOOKUP(H176,Settings!B14:C25,2,FALSE()),0)</f>
        <v>0</v>
      </c>
    </row>
    <row r="177" customFormat="false" ht="15" hidden="false" customHeight="false" outlineLevel="0" collapsed="false">
      <c r="A177" s="41" t="str">
        <f aca="false">IF(B177="","",ROW()-3)</f>
        <v/>
      </c>
      <c r="B177" s="42"/>
      <c r="G177" s="44"/>
      <c r="I177" s="44" t="n">
        <f aca="false">IF(G177="",0,G177*S177)</f>
        <v>0</v>
      </c>
      <c r="J177" s="44"/>
      <c r="K177" s="44" t="n">
        <f aca="false">IF(G177="",0,G177-I177-IF(J177="",0,J177))</f>
        <v>0</v>
      </c>
      <c r="L177" s="44" t="n">
        <f aca="false">IF(O177="",0,IFERROR(INDEX(Purchases!I:I,MATCH(O177*1,Purchases!A:A,0)),0))</f>
        <v>0</v>
      </c>
      <c r="M177" s="44" t="n">
        <f aca="false">IF(G177="",0,K177-L177)</f>
        <v>0</v>
      </c>
      <c r="N177" s="49" t="str">
        <f aca="false">IFERROR(IF(G177="","",M177/G177),"")</f>
        <v/>
      </c>
      <c r="S177" s="49" t="n">
        <f aca="false">IFERROR(VLOOKUP(H177,Settings!B14:C25,2,FALSE()),0)</f>
        <v>0</v>
      </c>
    </row>
    <row r="178" customFormat="false" ht="15" hidden="false" customHeight="false" outlineLevel="0" collapsed="false">
      <c r="A178" s="37" t="str">
        <f aca="false">IF(B178="","",ROW()-3)</f>
        <v/>
      </c>
      <c r="B178" s="38"/>
      <c r="C178" s="39"/>
      <c r="D178" s="39"/>
      <c r="E178" s="39"/>
      <c r="F178" s="39"/>
      <c r="G178" s="40"/>
      <c r="H178" s="39"/>
      <c r="I178" s="40" t="n">
        <f aca="false">IF(G178="",0,G178*S178)</f>
        <v>0</v>
      </c>
      <c r="J178" s="40"/>
      <c r="K178" s="40" t="n">
        <f aca="false">IF(G178="",0,G178-I178-IF(J178="",0,J178))</f>
        <v>0</v>
      </c>
      <c r="L178" s="40" t="n">
        <f aca="false">IF(O178="",0,IFERROR(INDEX(Purchases!I:I,MATCH(O178*1,Purchases!A:A,0)),0))</f>
        <v>0</v>
      </c>
      <c r="M178" s="40" t="n">
        <f aca="false">IF(G178="",0,K178-L178)</f>
        <v>0</v>
      </c>
      <c r="N178" s="48" t="str">
        <f aca="false">IFERROR(IF(G178="","",M178/G178),"")</f>
        <v/>
      </c>
      <c r="O178" s="39"/>
      <c r="P178" s="39"/>
      <c r="Q178" s="39"/>
      <c r="R178" s="39"/>
      <c r="S178" s="48" t="n">
        <f aca="false">IFERROR(VLOOKUP(H178,Settings!B14:C25,2,FALSE()),0)</f>
        <v>0</v>
      </c>
    </row>
    <row r="179" customFormat="false" ht="15" hidden="false" customHeight="false" outlineLevel="0" collapsed="false">
      <c r="A179" s="41" t="str">
        <f aca="false">IF(B179="","",ROW()-3)</f>
        <v/>
      </c>
      <c r="B179" s="42"/>
      <c r="G179" s="44"/>
      <c r="I179" s="44" t="n">
        <f aca="false">IF(G179="",0,G179*S179)</f>
        <v>0</v>
      </c>
      <c r="J179" s="44"/>
      <c r="K179" s="44" t="n">
        <f aca="false">IF(G179="",0,G179-I179-IF(J179="",0,J179))</f>
        <v>0</v>
      </c>
      <c r="L179" s="44" t="n">
        <f aca="false">IF(O179="",0,IFERROR(INDEX(Purchases!I:I,MATCH(O179*1,Purchases!A:A,0)),0))</f>
        <v>0</v>
      </c>
      <c r="M179" s="44" t="n">
        <f aca="false">IF(G179="",0,K179-L179)</f>
        <v>0</v>
      </c>
      <c r="N179" s="49" t="str">
        <f aca="false">IFERROR(IF(G179="","",M179/G179),"")</f>
        <v/>
      </c>
      <c r="S179" s="49" t="n">
        <f aca="false">IFERROR(VLOOKUP(H179,Settings!B14:C25,2,FALSE()),0)</f>
        <v>0</v>
      </c>
    </row>
    <row r="180" customFormat="false" ht="15" hidden="false" customHeight="false" outlineLevel="0" collapsed="false">
      <c r="A180" s="37" t="str">
        <f aca="false">IF(B180="","",ROW()-3)</f>
        <v/>
      </c>
      <c r="B180" s="38"/>
      <c r="C180" s="39"/>
      <c r="D180" s="39"/>
      <c r="E180" s="39"/>
      <c r="F180" s="39"/>
      <c r="G180" s="40"/>
      <c r="H180" s="39"/>
      <c r="I180" s="40" t="n">
        <f aca="false">IF(G180="",0,G180*S180)</f>
        <v>0</v>
      </c>
      <c r="J180" s="40"/>
      <c r="K180" s="40" t="n">
        <f aca="false">IF(G180="",0,G180-I180-IF(J180="",0,J180))</f>
        <v>0</v>
      </c>
      <c r="L180" s="40" t="n">
        <f aca="false">IF(O180="",0,IFERROR(INDEX(Purchases!I:I,MATCH(O180*1,Purchases!A:A,0)),0))</f>
        <v>0</v>
      </c>
      <c r="M180" s="40" t="n">
        <f aca="false">IF(G180="",0,K180-L180)</f>
        <v>0</v>
      </c>
      <c r="N180" s="48" t="str">
        <f aca="false">IFERROR(IF(G180="","",M180/G180),"")</f>
        <v/>
      </c>
      <c r="O180" s="39"/>
      <c r="P180" s="39"/>
      <c r="Q180" s="39"/>
      <c r="R180" s="39"/>
      <c r="S180" s="48" t="n">
        <f aca="false">IFERROR(VLOOKUP(H180,Settings!B14:C25,2,FALSE()),0)</f>
        <v>0</v>
      </c>
    </row>
    <row r="181" customFormat="false" ht="15" hidden="false" customHeight="false" outlineLevel="0" collapsed="false">
      <c r="A181" s="41" t="str">
        <f aca="false">IF(B181="","",ROW()-3)</f>
        <v/>
      </c>
      <c r="B181" s="42"/>
      <c r="G181" s="44"/>
      <c r="I181" s="44" t="n">
        <f aca="false">IF(G181="",0,G181*S181)</f>
        <v>0</v>
      </c>
      <c r="J181" s="44"/>
      <c r="K181" s="44" t="n">
        <f aca="false">IF(G181="",0,G181-I181-IF(J181="",0,J181))</f>
        <v>0</v>
      </c>
      <c r="L181" s="44" t="n">
        <f aca="false">IF(O181="",0,IFERROR(INDEX(Purchases!I:I,MATCH(O181*1,Purchases!A:A,0)),0))</f>
        <v>0</v>
      </c>
      <c r="M181" s="44" t="n">
        <f aca="false">IF(G181="",0,K181-L181)</f>
        <v>0</v>
      </c>
      <c r="N181" s="49" t="str">
        <f aca="false">IFERROR(IF(G181="","",M181/G181),"")</f>
        <v/>
      </c>
      <c r="S181" s="49" t="n">
        <f aca="false">IFERROR(VLOOKUP(H181,Settings!B14:C25,2,FALSE()),0)</f>
        <v>0</v>
      </c>
    </row>
    <row r="182" customFormat="false" ht="15" hidden="false" customHeight="false" outlineLevel="0" collapsed="false">
      <c r="A182" s="37" t="str">
        <f aca="false">IF(B182="","",ROW()-3)</f>
        <v/>
      </c>
      <c r="B182" s="38"/>
      <c r="C182" s="39"/>
      <c r="D182" s="39"/>
      <c r="E182" s="39"/>
      <c r="F182" s="39"/>
      <c r="G182" s="40"/>
      <c r="H182" s="39"/>
      <c r="I182" s="40" t="n">
        <f aca="false">IF(G182="",0,G182*S182)</f>
        <v>0</v>
      </c>
      <c r="J182" s="40"/>
      <c r="K182" s="40" t="n">
        <f aca="false">IF(G182="",0,G182-I182-IF(J182="",0,J182))</f>
        <v>0</v>
      </c>
      <c r="L182" s="40" t="n">
        <f aca="false">IF(O182="",0,IFERROR(INDEX(Purchases!I:I,MATCH(O182*1,Purchases!A:A,0)),0))</f>
        <v>0</v>
      </c>
      <c r="M182" s="40" t="n">
        <f aca="false">IF(G182="",0,K182-L182)</f>
        <v>0</v>
      </c>
      <c r="N182" s="48" t="str">
        <f aca="false">IFERROR(IF(G182="","",M182/G182),"")</f>
        <v/>
      </c>
      <c r="O182" s="39"/>
      <c r="P182" s="39"/>
      <c r="Q182" s="39"/>
      <c r="R182" s="39"/>
      <c r="S182" s="48" t="n">
        <f aca="false">IFERROR(VLOOKUP(H182,Settings!B14:C25,2,FALSE()),0)</f>
        <v>0</v>
      </c>
    </row>
    <row r="183" customFormat="false" ht="15" hidden="false" customHeight="false" outlineLevel="0" collapsed="false">
      <c r="A183" s="41" t="str">
        <f aca="false">IF(B183="","",ROW()-3)</f>
        <v/>
      </c>
      <c r="B183" s="42"/>
      <c r="G183" s="44"/>
      <c r="I183" s="44" t="n">
        <f aca="false">IF(G183="",0,G183*S183)</f>
        <v>0</v>
      </c>
      <c r="J183" s="44"/>
      <c r="K183" s="44" t="n">
        <f aca="false">IF(G183="",0,G183-I183-IF(J183="",0,J183))</f>
        <v>0</v>
      </c>
      <c r="L183" s="44" t="n">
        <f aca="false">IF(O183="",0,IFERROR(INDEX(Purchases!I:I,MATCH(O183*1,Purchases!A:A,0)),0))</f>
        <v>0</v>
      </c>
      <c r="M183" s="44" t="n">
        <f aca="false">IF(G183="",0,K183-L183)</f>
        <v>0</v>
      </c>
      <c r="N183" s="49" t="str">
        <f aca="false">IFERROR(IF(G183="","",M183/G183),"")</f>
        <v/>
      </c>
      <c r="S183" s="49" t="n">
        <f aca="false">IFERROR(VLOOKUP(H183,Settings!B14:C25,2,FALSE()),0)</f>
        <v>0</v>
      </c>
    </row>
    <row r="184" customFormat="false" ht="15" hidden="false" customHeight="false" outlineLevel="0" collapsed="false">
      <c r="A184" s="37" t="str">
        <f aca="false">IF(B184="","",ROW()-3)</f>
        <v/>
      </c>
      <c r="B184" s="38"/>
      <c r="C184" s="39"/>
      <c r="D184" s="39"/>
      <c r="E184" s="39"/>
      <c r="F184" s="39"/>
      <c r="G184" s="40"/>
      <c r="H184" s="39"/>
      <c r="I184" s="40" t="n">
        <f aca="false">IF(G184="",0,G184*S184)</f>
        <v>0</v>
      </c>
      <c r="J184" s="40"/>
      <c r="K184" s="40" t="n">
        <f aca="false">IF(G184="",0,G184-I184-IF(J184="",0,J184))</f>
        <v>0</v>
      </c>
      <c r="L184" s="40" t="n">
        <f aca="false">IF(O184="",0,IFERROR(INDEX(Purchases!I:I,MATCH(O184*1,Purchases!A:A,0)),0))</f>
        <v>0</v>
      </c>
      <c r="M184" s="40" t="n">
        <f aca="false">IF(G184="",0,K184-L184)</f>
        <v>0</v>
      </c>
      <c r="N184" s="48" t="str">
        <f aca="false">IFERROR(IF(G184="","",M184/G184),"")</f>
        <v/>
      </c>
      <c r="O184" s="39"/>
      <c r="P184" s="39"/>
      <c r="Q184" s="39"/>
      <c r="R184" s="39"/>
      <c r="S184" s="48" t="n">
        <f aca="false">IFERROR(VLOOKUP(H184,Settings!B14:C25,2,FALSE()),0)</f>
        <v>0</v>
      </c>
    </row>
    <row r="185" customFormat="false" ht="15" hidden="false" customHeight="false" outlineLevel="0" collapsed="false">
      <c r="A185" s="41" t="str">
        <f aca="false">IF(B185="","",ROW()-3)</f>
        <v/>
      </c>
      <c r="B185" s="42"/>
      <c r="G185" s="44"/>
      <c r="I185" s="44" t="n">
        <f aca="false">IF(G185="",0,G185*S185)</f>
        <v>0</v>
      </c>
      <c r="J185" s="44"/>
      <c r="K185" s="44" t="n">
        <f aca="false">IF(G185="",0,G185-I185-IF(J185="",0,J185))</f>
        <v>0</v>
      </c>
      <c r="L185" s="44" t="n">
        <f aca="false">IF(O185="",0,IFERROR(INDEX(Purchases!I:I,MATCH(O185*1,Purchases!A:A,0)),0))</f>
        <v>0</v>
      </c>
      <c r="M185" s="44" t="n">
        <f aca="false">IF(G185="",0,K185-L185)</f>
        <v>0</v>
      </c>
      <c r="N185" s="49" t="str">
        <f aca="false">IFERROR(IF(G185="","",M185/G185),"")</f>
        <v/>
      </c>
      <c r="S185" s="49" t="n">
        <f aca="false">IFERROR(VLOOKUP(H185,Settings!B14:C25,2,FALSE()),0)</f>
        <v>0</v>
      </c>
    </row>
    <row r="186" customFormat="false" ht="15" hidden="false" customHeight="false" outlineLevel="0" collapsed="false">
      <c r="A186" s="37" t="str">
        <f aca="false">IF(B186="","",ROW()-3)</f>
        <v/>
      </c>
      <c r="B186" s="38"/>
      <c r="C186" s="39"/>
      <c r="D186" s="39"/>
      <c r="E186" s="39"/>
      <c r="F186" s="39"/>
      <c r="G186" s="40"/>
      <c r="H186" s="39"/>
      <c r="I186" s="40" t="n">
        <f aca="false">IF(G186="",0,G186*S186)</f>
        <v>0</v>
      </c>
      <c r="J186" s="40"/>
      <c r="K186" s="40" t="n">
        <f aca="false">IF(G186="",0,G186-I186-IF(J186="",0,J186))</f>
        <v>0</v>
      </c>
      <c r="L186" s="40" t="n">
        <f aca="false">IF(O186="",0,IFERROR(INDEX(Purchases!I:I,MATCH(O186*1,Purchases!A:A,0)),0))</f>
        <v>0</v>
      </c>
      <c r="M186" s="40" t="n">
        <f aca="false">IF(G186="",0,K186-L186)</f>
        <v>0</v>
      </c>
      <c r="N186" s="48" t="str">
        <f aca="false">IFERROR(IF(G186="","",M186/G186),"")</f>
        <v/>
      </c>
      <c r="O186" s="39"/>
      <c r="P186" s="39"/>
      <c r="Q186" s="39"/>
      <c r="R186" s="39"/>
      <c r="S186" s="48" t="n">
        <f aca="false">IFERROR(VLOOKUP(H186,Settings!B14:C25,2,FALSE()),0)</f>
        <v>0</v>
      </c>
    </row>
    <row r="187" customFormat="false" ht="15" hidden="false" customHeight="false" outlineLevel="0" collapsed="false">
      <c r="A187" s="41" t="str">
        <f aca="false">IF(B187="","",ROW()-3)</f>
        <v/>
      </c>
      <c r="B187" s="42"/>
      <c r="G187" s="44"/>
      <c r="I187" s="44" t="n">
        <f aca="false">IF(G187="",0,G187*S187)</f>
        <v>0</v>
      </c>
      <c r="J187" s="44"/>
      <c r="K187" s="44" t="n">
        <f aca="false">IF(G187="",0,G187-I187-IF(J187="",0,J187))</f>
        <v>0</v>
      </c>
      <c r="L187" s="44" t="n">
        <f aca="false">IF(O187="",0,IFERROR(INDEX(Purchases!I:I,MATCH(O187*1,Purchases!A:A,0)),0))</f>
        <v>0</v>
      </c>
      <c r="M187" s="44" t="n">
        <f aca="false">IF(G187="",0,K187-L187)</f>
        <v>0</v>
      </c>
      <c r="N187" s="49" t="str">
        <f aca="false">IFERROR(IF(G187="","",M187/G187),"")</f>
        <v/>
      </c>
      <c r="S187" s="49" t="n">
        <f aca="false">IFERROR(VLOOKUP(H187,Settings!B14:C25,2,FALSE()),0)</f>
        <v>0</v>
      </c>
    </row>
    <row r="188" customFormat="false" ht="15" hidden="false" customHeight="false" outlineLevel="0" collapsed="false">
      <c r="A188" s="37" t="str">
        <f aca="false">IF(B188="","",ROW()-3)</f>
        <v/>
      </c>
      <c r="B188" s="38"/>
      <c r="C188" s="39"/>
      <c r="D188" s="39"/>
      <c r="E188" s="39"/>
      <c r="F188" s="39"/>
      <c r="G188" s="40"/>
      <c r="H188" s="39"/>
      <c r="I188" s="40" t="n">
        <f aca="false">IF(G188="",0,G188*S188)</f>
        <v>0</v>
      </c>
      <c r="J188" s="40"/>
      <c r="K188" s="40" t="n">
        <f aca="false">IF(G188="",0,G188-I188-IF(J188="",0,J188))</f>
        <v>0</v>
      </c>
      <c r="L188" s="40" t="n">
        <f aca="false">IF(O188="",0,IFERROR(INDEX(Purchases!I:I,MATCH(O188*1,Purchases!A:A,0)),0))</f>
        <v>0</v>
      </c>
      <c r="M188" s="40" t="n">
        <f aca="false">IF(G188="",0,K188-L188)</f>
        <v>0</v>
      </c>
      <c r="N188" s="48" t="str">
        <f aca="false">IFERROR(IF(G188="","",M188/G188),"")</f>
        <v/>
      </c>
      <c r="O188" s="39"/>
      <c r="P188" s="39"/>
      <c r="Q188" s="39"/>
      <c r="R188" s="39"/>
      <c r="S188" s="48" t="n">
        <f aca="false">IFERROR(VLOOKUP(H188,Settings!B14:C25,2,FALSE()),0)</f>
        <v>0</v>
      </c>
    </row>
    <row r="189" customFormat="false" ht="15" hidden="false" customHeight="false" outlineLevel="0" collapsed="false">
      <c r="A189" s="41" t="str">
        <f aca="false">IF(B189="","",ROW()-3)</f>
        <v/>
      </c>
      <c r="B189" s="42"/>
      <c r="G189" s="44"/>
      <c r="I189" s="44" t="n">
        <f aca="false">IF(G189="",0,G189*S189)</f>
        <v>0</v>
      </c>
      <c r="J189" s="44"/>
      <c r="K189" s="44" t="n">
        <f aca="false">IF(G189="",0,G189-I189-IF(J189="",0,J189))</f>
        <v>0</v>
      </c>
      <c r="L189" s="44" t="n">
        <f aca="false">IF(O189="",0,IFERROR(INDEX(Purchases!I:I,MATCH(O189*1,Purchases!A:A,0)),0))</f>
        <v>0</v>
      </c>
      <c r="M189" s="44" t="n">
        <f aca="false">IF(G189="",0,K189-L189)</f>
        <v>0</v>
      </c>
      <c r="N189" s="49" t="str">
        <f aca="false">IFERROR(IF(G189="","",M189/G189),"")</f>
        <v/>
      </c>
      <c r="S189" s="49" t="n">
        <f aca="false">IFERROR(VLOOKUP(H189,Settings!B14:C25,2,FALSE()),0)</f>
        <v>0</v>
      </c>
    </row>
    <row r="190" customFormat="false" ht="15" hidden="false" customHeight="false" outlineLevel="0" collapsed="false">
      <c r="A190" s="37" t="str">
        <f aca="false">IF(B190="","",ROW()-3)</f>
        <v/>
      </c>
      <c r="B190" s="38"/>
      <c r="C190" s="39"/>
      <c r="D190" s="39"/>
      <c r="E190" s="39"/>
      <c r="F190" s="39"/>
      <c r="G190" s="40"/>
      <c r="H190" s="39"/>
      <c r="I190" s="40" t="n">
        <f aca="false">IF(G190="",0,G190*S190)</f>
        <v>0</v>
      </c>
      <c r="J190" s="40"/>
      <c r="K190" s="40" t="n">
        <f aca="false">IF(G190="",0,G190-I190-IF(J190="",0,J190))</f>
        <v>0</v>
      </c>
      <c r="L190" s="40" t="n">
        <f aca="false">IF(O190="",0,IFERROR(INDEX(Purchases!I:I,MATCH(O190*1,Purchases!A:A,0)),0))</f>
        <v>0</v>
      </c>
      <c r="M190" s="40" t="n">
        <f aca="false">IF(G190="",0,K190-L190)</f>
        <v>0</v>
      </c>
      <c r="N190" s="48" t="str">
        <f aca="false">IFERROR(IF(G190="","",M190/G190),"")</f>
        <v/>
      </c>
      <c r="O190" s="39"/>
      <c r="P190" s="39"/>
      <c r="Q190" s="39"/>
      <c r="R190" s="39"/>
      <c r="S190" s="48" t="n">
        <f aca="false">IFERROR(VLOOKUP(H190,Settings!B14:C25,2,FALSE()),0)</f>
        <v>0</v>
      </c>
    </row>
    <row r="191" customFormat="false" ht="15" hidden="false" customHeight="false" outlineLevel="0" collapsed="false">
      <c r="A191" s="41" t="str">
        <f aca="false">IF(B191="","",ROW()-3)</f>
        <v/>
      </c>
      <c r="B191" s="42"/>
      <c r="G191" s="44"/>
      <c r="I191" s="44" t="n">
        <f aca="false">IF(G191="",0,G191*S191)</f>
        <v>0</v>
      </c>
      <c r="J191" s="44"/>
      <c r="K191" s="44" t="n">
        <f aca="false">IF(G191="",0,G191-I191-IF(J191="",0,J191))</f>
        <v>0</v>
      </c>
      <c r="L191" s="44" t="n">
        <f aca="false">IF(O191="",0,IFERROR(INDEX(Purchases!I:I,MATCH(O191*1,Purchases!A:A,0)),0))</f>
        <v>0</v>
      </c>
      <c r="M191" s="44" t="n">
        <f aca="false">IF(G191="",0,K191-L191)</f>
        <v>0</v>
      </c>
      <c r="N191" s="49" t="str">
        <f aca="false">IFERROR(IF(G191="","",M191/G191),"")</f>
        <v/>
      </c>
      <c r="S191" s="49" t="n">
        <f aca="false">IFERROR(VLOOKUP(H191,Settings!B14:C25,2,FALSE()),0)</f>
        <v>0</v>
      </c>
    </row>
    <row r="192" customFormat="false" ht="15" hidden="false" customHeight="false" outlineLevel="0" collapsed="false">
      <c r="A192" s="37" t="str">
        <f aca="false">IF(B192="","",ROW()-3)</f>
        <v/>
      </c>
      <c r="B192" s="38"/>
      <c r="C192" s="39"/>
      <c r="D192" s="39"/>
      <c r="E192" s="39"/>
      <c r="F192" s="39"/>
      <c r="G192" s="40"/>
      <c r="H192" s="39"/>
      <c r="I192" s="40" t="n">
        <f aca="false">IF(G192="",0,G192*S192)</f>
        <v>0</v>
      </c>
      <c r="J192" s="40"/>
      <c r="K192" s="40" t="n">
        <f aca="false">IF(G192="",0,G192-I192-IF(J192="",0,J192))</f>
        <v>0</v>
      </c>
      <c r="L192" s="40" t="n">
        <f aca="false">IF(O192="",0,IFERROR(INDEX(Purchases!I:I,MATCH(O192*1,Purchases!A:A,0)),0))</f>
        <v>0</v>
      </c>
      <c r="M192" s="40" t="n">
        <f aca="false">IF(G192="",0,K192-L192)</f>
        <v>0</v>
      </c>
      <c r="N192" s="48" t="str">
        <f aca="false">IFERROR(IF(G192="","",M192/G192),"")</f>
        <v/>
      </c>
      <c r="O192" s="39"/>
      <c r="P192" s="39"/>
      <c r="Q192" s="39"/>
      <c r="R192" s="39"/>
      <c r="S192" s="48" t="n">
        <f aca="false">IFERROR(VLOOKUP(H192,Settings!B14:C25,2,FALSE()),0)</f>
        <v>0</v>
      </c>
    </row>
    <row r="193" customFormat="false" ht="15" hidden="false" customHeight="false" outlineLevel="0" collapsed="false">
      <c r="A193" s="41" t="str">
        <f aca="false">IF(B193="","",ROW()-3)</f>
        <v/>
      </c>
      <c r="B193" s="42"/>
      <c r="G193" s="44"/>
      <c r="I193" s="44" t="n">
        <f aca="false">IF(G193="",0,G193*S193)</f>
        <v>0</v>
      </c>
      <c r="J193" s="44"/>
      <c r="K193" s="44" t="n">
        <f aca="false">IF(G193="",0,G193-I193-IF(J193="",0,J193))</f>
        <v>0</v>
      </c>
      <c r="L193" s="44" t="n">
        <f aca="false">IF(O193="",0,IFERROR(INDEX(Purchases!I:I,MATCH(O193*1,Purchases!A:A,0)),0))</f>
        <v>0</v>
      </c>
      <c r="M193" s="44" t="n">
        <f aca="false">IF(G193="",0,K193-L193)</f>
        <v>0</v>
      </c>
      <c r="N193" s="49" t="str">
        <f aca="false">IFERROR(IF(G193="","",M193/G193),"")</f>
        <v/>
      </c>
      <c r="S193" s="49" t="n">
        <f aca="false">IFERROR(VLOOKUP(H193,Settings!B14:C25,2,FALSE()),0)</f>
        <v>0</v>
      </c>
    </row>
    <row r="194" customFormat="false" ht="15" hidden="false" customHeight="false" outlineLevel="0" collapsed="false">
      <c r="A194" s="37" t="str">
        <f aca="false">IF(B194="","",ROW()-3)</f>
        <v/>
      </c>
      <c r="B194" s="38"/>
      <c r="C194" s="39"/>
      <c r="D194" s="39"/>
      <c r="E194" s="39"/>
      <c r="F194" s="39"/>
      <c r="G194" s="40"/>
      <c r="H194" s="39"/>
      <c r="I194" s="40" t="n">
        <f aca="false">IF(G194="",0,G194*S194)</f>
        <v>0</v>
      </c>
      <c r="J194" s="40"/>
      <c r="K194" s="40" t="n">
        <f aca="false">IF(G194="",0,G194-I194-IF(J194="",0,J194))</f>
        <v>0</v>
      </c>
      <c r="L194" s="40" t="n">
        <f aca="false">IF(O194="",0,IFERROR(INDEX(Purchases!I:I,MATCH(O194*1,Purchases!A:A,0)),0))</f>
        <v>0</v>
      </c>
      <c r="M194" s="40" t="n">
        <f aca="false">IF(G194="",0,K194-L194)</f>
        <v>0</v>
      </c>
      <c r="N194" s="48" t="str">
        <f aca="false">IFERROR(IF(G194="","",M194/G194),"")</f>
        <v/>
      </c>
      <c r="O194" s="39"/>
      <c r="P194" s="39"/>
      <c r="Q194" s="39"/>
      <c r="R194" s="39"/>
      <c r="S194" s="48" t="n">
        <f aca="false">IFERROR(VLOOKUP(H194,Settings!B14:C25,2,FALSE()),0)</f>
        <v>0</v>
      </c>
    </row>
    <row r="195" customFormat="false" ht="15" hidden="false" customHeight="false" outlineLevel="0" collapsed="false">
      <c r="A195" s="41" t="str">
        <f aca="false">IF(B195="","",ROW()-3)</f>
        <v/>
      </c>
      <c r="B195" s="42"/>
      <c r="G195" s="44"/>
      <c r="I195" s="44" t="n">
        <f aca="false">IF(G195="",0,G195*S195)</f>
        <v>0</v>
      </c>
      <c r="J195" s="44"/>
      <c r="K195" s="44" t="n">
        <f aca="false">IF(G195="",0,G195-I195-IF(J195="",0,J195))</f>
        <v>0</v>
      </c>
      <c r="L195" s="44" t="n">
        <f aca="false">IF(O195="",0,IFERROR(INDEX(Purchases!I:I,MATCH(O195*1,Purchases!A:A,0)),0))</f>
        <v>0</v>
      </c>
      <c r="M195" s="44" t="n">
        <f aca="false">IF(G195="",0,K195-L195)</f>
        <v>0</v>
      </c>
      <c r="N195" s="49" t="str">
        <f aca="false">IFERROR(IF(G195="","",M195/G195),"")</f>
        <v/>
      </c>
      <c r="S195" s="49" t="n">
        <f aca="false">IFERROR(VLOOKUP(H195,Settings!B14:C25,2,FALSE()),0)</f>
        <v>0</v>
      </c>
    </row>
    <row r="196" customFormat="false" ht="15" hidden="false" customHeight="false" outlineLevel="0" collapsed="false">
      <c r="A196" s="37" t="str">
        <f aca="false">IF(B196="","",ROW()-3)</f>
        <v/>
      </c>
      <c r="B196" s="38"/>
      <c r="C196" s="39"/>
      <c r="D196" s="39"/>
      <c r="E196" s="39"/>
      <c r="F196" s="39"/>
      <c r="G196" s="40"/>
      <c r="H196" s="39"/>
      <c r="I196" s="40" t="n">
        <f aca="false">IF(G196="",0,G196*S196)</f>
        <v>0</v>
      </c>
      <c r="J196" s="40"/>
      <c r="K196" s="40" t="n">
        <f aca="false">IF(G196="",0,G196-I196-IF(J196="",0,J196))</f>
        <v>0</v>
      </c>
      <c r="L196" s="40" t="n">
        <f aca="false">IF(O196="",0,IFERROR(INDEX(Purchases!I:I,MATCH(O196*1,Purchases!A:A,0)),0))</f>
        <v>0</v>
      </c>
      <c r="M196" s="40" t="n">
        <f aca="false">IF(G196="",0,K196-L196)</f>
        <v>0</v>
      </c>
      <c r="N196" s="48" t="str">
        <f aca="false">IFERROR(IF(G196="","",M196/G196),"")</f>
        <v/>
      </c>
      <c r="O196" s="39"/>
      <c r="P196" s="39"/>
      <c r="Q196" s="39"/>
      <c r="R196" s="39"/>
      <c r="S196" s="48" t="n">
        <f aca="false">IFERROR(VLOOKUP(H196,Settings!B14:C25,2,FALSE()),0)</f>
        <v>0</v>
      </c>
    </row>
    <row r="197" customFormat="false" ht="15" hidden="false" customHeight="false" outlineLevel="0" collapsed="false">
      <c r="A197" s="41" t="str">
        <f aca="false">IF(B197="","",ROW()-3)</f>
        <v/>
      </c>
      <c r="B197" s="42"/>
      <c r="G197" s="44"/>
      <c r="I197" s="44" t="n">
        <f aca="false">IF(G197="",0,G197*S197)</f>
        <v>0</v>
      </c>
      <c r="J197" s="44"/>
      <c r="K197" s="44" t="n">
        <f aca="false">IF(G197="",0,G197-I197-IF(J197="",0,J197))</f>
        <v>0</v>
      </c>
      <c r="L197" s="44" t="n">
        <f aca="false">IF(O197="",0,IFERROR(INDEX(Purchases!I:I,MATCH(O197*1,Purchases!A:A,0)),0))</f>
        <v>0</v>
      </c>
      <c r="M197" s="44" t="n">
        <f aca="false">IF(G197="",0,K197-L197)</f>
        <v>0</v>
      </c>
      <c r="N197" s="49" t="str">
        <f aca="false">IFERROR(IF(G197="","",M197/G197),"")</f>
        <v/>
      </c>
      <c r="S197" s="49" t="n">
        <f aca="false">IFERROR(VLOOKUP(H197,Settings!B14:C25,2,FALSE()),0)</f>
        <v>0</v>
      </c>
    </row>
    <row r="198" customFormat="false" ht="15" hidden="false" customHeight="false" outlineLevel="0" collapsed="false">
      <c r="A198" s="37" t="str">
        <f aca="false">IF(B198="","",ROW()-3)</f>
        <v/>
      </c>
      <c r="B198" s="38"/>
      <c r="C198" s="39"/>
      <c r="D198" s="39"/>
      <c r="E198" s="39"/>
      <c r="F198" s="39"/>
      <c r="G198" s="40"/>
      <c r="H198" s="39"/>
      <c r="I198" s="40" t="n">
        <f aca="false">IF(G198="",0,G198*S198)</f>
        <v>0</v>
      </c>
      <c r="J198" s="40"/>
      <c r="K198" s="40" t="n">
        <f aca="false">IF(G198="",0,G198-I198-IF(J198="",0,J198))</f>
        <v>0</v>
      </c>
      <c r="L198" s="40" t="n">
        <f aca="false">IF(O198="",0,IFERROR(INDEX(Purchases!I:I,MATCH(O198*1,Purchases!A:A,0)),0))</f>
        <v>0</v>
      </c>
      <c r="M198" s="40" t="n">
        <f aca="false">IF(G198="",0,K198-L198)</f>
        <v>0</v>
      </c>
      <c r="N198" s="48" t="str">
        <f aca="false">IFERROR(IF(G198="","",M198/G198),"")</f>
        <v/>
      </c>
      <c r="O198" s="39"/>
      <c r="P198" s="39"/>
      <c r="Q198" s="39"/>
      <c r="R198" s="39"/>
      <c r="S198" s="48" t="n">
        <f aca="false">IFERROR(VLOOKUP(H198,Settings!B14:C25,2,FALSE()),0)</f>
        <v>0</v>
      </c>
    </row>
    <row r="199" customFormat="false" ht="15" hidden="false" customHeight="false" outlineLevel="0" collapsed="false">
      <c r="A199" s="41" t="str">
        <f aca="false">IF(B199="","",ROW()-3)</f>
        <v/>
      </c>
      <c r="B199" s="42"/>
      <c r="G199" s="44"/>
      <c r="I199" s="44" t="n">
        <f aca="false">IF(G199="",0,G199*S199)</f>
        <v>0</v>
      </c>
      <c r="J199" s="44"/>
      <c r="K199" s="44" t="n">
        <f aca="false">IF(G199="",0,G199-I199-IF(J199="",0,J199))</f>
        <v>0</v>
      </c>
      <c r="L199" s="44" t="n">
        <f aca="false">IF(O199="",0,IFERROR(INDEX(Purchases!I:I,MATCH(O199*1,Purchases!A:A,0)),0))</f>
        <v>0</v>
      </c>
      <c r="M199" s="44" t="n">
        <f aca="false">IF(G199="",0,K199-L199)</f>
        <v>0</v>
      </c>
      <c r="N199" s="49" t="str">
        <f aca="false">IFERROR(IF(G199="","",M199/G199),"")</f>
        <v/>
      </c>
      <c r="S199" s="49" t="n">
        <f aca="false">IFERROR(VLOOKUP(H199,Settings!B14:C25,2,FALSE()),0)</f>
        <v>0</v>
      </c>
    </row>
    <row r="200" customFormat="false" ht="15" hidden="false" customHeight="false" outlineLevel="0" collapsed="false">
      <c r="A200" s="37" t="str">
        <f aca="false">IF(B200="","",ROW()-3)</f>
        <v/>
      </c>
      <c r="B200" s="38"/>
      <c r="C200" s="39"/>
      <c r="D200" s="39"/>
      <c r="E200" s="39"/>
      <c r="F200" s="39"/>
      <c r="G200" s="40"/>
      <c r="H200" s="39"/>
      <c r="I200" s="40" t="n">
        <f aca="false">IF(G200="",0,G200*S200)</f>
        <v>0</v>
      </c>
      <c r="J200" s="40"/>
      <c r="K200" s="40" t="n">
        <f aca="false">IF(G200="",0,G200-I200-IF(J200="",0,J200))</f>
        <v>0</v>
      </c>
      <c r="L200" s="40" t="n">
        <f aca="false">IF(O200="",0,IFERROR(INDEX(Purchases!I:I,MATCH(O200*1,Purchases!A:A,0)),0))</f>
        <v>0</v>
      </c>
      <c r="M200" s="40" t="n">
        <f aca="false">IF(G200="",0,K200-L200)</f>
        <v>0</v>
      </c>
      <c r="N200" s="48" t="str">
        <f aca="false">IFERROR(IF(G200="","",M200/G200),"")</f>
        <v/>
      </c>
      <c r="O200" s="39"/>
      <c r="P200" s="39"/>
      <c r="Q200" s="39"/>
      <c r="R200" s="39"/>
      <c r="S200" s="48" t="n">
        <f aca="false">IFERROR(VLOOKUP(H200,Settings!B14:C25,2,FALSE()),0)</f>
        <v>0</v>
      </c>
    </row>
    <row r="201" customFormat="false" ht="15" hidden="false" customHeight="false" outlineLevel="0" collapsed="false">
      <c r="A201" s="41" t="str">
        <f aca="false">IF(B201="","",ROW()-3)</f>
        <v/>
      </c>
      <c r="B201" s="42"/>
      <c r="G201" s="44"/>
      <c r="I201" s="44" t="n">
        <f aca="false">IF(G201="",0,G201*S201)</f>
        <v>0</v>
      </c>
      <c r="J201" s="44"/>
      <c r="K201" s="44" t="n">
        <f aca="false">IF(G201="",0,G201-I201-IF(J201="",0,J201))</f>
        <v>0</v>
      </c>
      <c r="L201" s="44" t="n">
        <f aca="false">IF(O201="",0,IFERROR(INDEX(Purchases!I:I,MATCH(O201*1,Purchases!A:A,0)),0))</f>
        <v>0</v>
      </c>
      <c r="M201" s="44" t="n">
        <f aca="false">IF(G201="",0,K201-L201)</f>
        <v>0</v>
      </c>
      <c r="N201" s="49" t="str">
        <f aca="false">IFERROR(IF(G201="","",M201/G201),"")</f>
        <v/>
      </c>
      <c r="S201" s="49" t="n">
        <f aca="false">IFERROR(VLOOKUP(H201,Settings!B14:C25,2,FALSE()),0)</f>
        <v>0</v>
      </c>
    </row>
    <row r="202" customFormat="false" ht="15" hidden="false" customHeight="false" outlineLevel="0" collapsed="false">
      <c r="A202" s="37" t="str">
        <f aca="false">IF(B202="","",ROW()-3)</f>
        <v/>
      </c>
      <c r="B202" s="38"/>
      <c r="C202" s="39"/>
      <c r="D202" s="39"/>
      <c r="E202" s="39"/>
      <c r="F202" s="39"/>
      <c r="G202" s="40"/>
      <c r="H202" s="39"/>
      <c r="I202" s="40" t="n">
        <f aca="false">IF(G202="",0,G202*S202)</f>
        <v>0</v>
      </c>
      <c r="J202" s="40"/>
      <c r="K202" s="40" t="n">
        <f aca="false">IF(G202="",0,G202-I202-IF(J202="",0,J202))</f>
        <v>0</v>
      </c>
      <c r="L202" s="40" t="n">
        <f aca="false">IF(O202="",0,IFERROR(INDEX(Purchases!I:I,MATCH(O202*1,Purchases!A:A,0)),0))</f>
        <v>0</v>
      </c>
      <c r="M202" s="40" t="n">
        <f aca="false">IF(G202="",0,K202-L202)</f>
        <v>0</v>
      </c>
      <c r="N202" s="48" t="str">
        <f aca="false">IFERROR(IF(G202="","",M202/G202),"")</f>
        <v/>
      </c>
      <c r="O202" s="39"/>
      <c r="P202" s="39"/>
      <c r="Q202" s="39"/>
      <c r="R202" s="39"/>
      <c r="S202" s="48" t="n">
        <f aca="false">IFERROR(VLOOKUP(H202,Settings!B14:C25,2,FALSE()),0)</f>
        <v>0</v>
      </c>
    </row>
    <row r="203" customFormat="false" ht="15" hidden="false" customHeight="false" outlineLevel="0" collapsed="false">
      <c r="A203" s="41" t="str">
        <f aca="false">IF(B203="","",ROW()-3)</f>
        <v/>
      </c>
      <c r="B203" s="42"/>
      <c r="G203" s="44"/>
      <c r="I203" s="44" t="n">
        <f aca="false">IF(G203="",0,G203*S203)</f>
        <v>0</v>
      </c>
      <c r="J203" s="44"/>
      <c r="K203" s="44" t="n">
        <f aca="false">IF(G203="",0,G203-I203-IF(J203="",0,J203))</f>
        <v>0</v>
      </c>
      <c r="L203" s="44" t="n">
        <f aca="false">IF(O203="",0,IFERROR(INDEX(Purchases!I:I,MATCH(O203*1,Purchases!A:A,0)),0))</f>
        <v>0</v>
      </c>
      <c r="M203" s="44" t="n">
        <f aca="false">IF(G203="",0,K203-L203)</f>
        <v>0</v>
      </c>
      <c r="N203" s="49" t="str">
        <f aca="false">IFERROR(IF(G203="","",M203/G203),"")</f>
        <v/>
      </c>
      <c r="S203" s="49" t="n">
        <f aca="false">IFERROR(VLOOKUP(H203,Settings!B14:C25,2,FALSE()),0)</f>
        <v>0</v>
      </c>
    </row>
    <row r="204" customFormat="false" ht="15" hidden="false" customHeight="false" outlineLevel="0" collapsed="false">
      <c r="A204" s="37" t="str">
        <f aca="false">IF(B204="","",ROW()-3)</f>
        <v/>
      </c>
      <c r="B204" s="38"/>
      <c r="C204" s="39"/>
      <c r="D204" s="39"/>
      <c r="E204" s="39"/>
      <c r="F204" s="39"/>
      <c r="G204" s="40"/>
      <c r="H204" s="39"/>
      <c r="I204" s="40" t="n">
        <f aca="false">IF(G204="",0,G204*S204)</f>
        <v>0</v>
      </c>
      <c r="J204" s="40"/>
      <c r="K204" s="40" t="n">
        <f aca="false">IF(G204="",0,G204-I204-IF(J204="",0,J204))</f>
        <v>0</v>
      </c>
      <c r="L204" s="40" t="n">
        <f aca="false">IF(O204="",0,IFERROR(INDEX(Purchases!I:I,MATCH(O204*1,Purchases!A:A,0)),0))</f>
        <v>0</v>
      </c>
      <c r="M204" s="40" t="n">
        <f aca="false">IF(G204="",0,K204-L204)</f>
        <v>0</v>
      </c>
      <c r="N204" s="48" t="str">
        <f aca="false">IFERROR(IF(G204="","",M204/G204),"")</f>
        <v/>
      </c>
      <c r="O204" s="39"/>
      <c r="P204" s="39"/>
      <c r="Q204" s="39"/>
      <c r="R204" s="39"/>
      <c r="S204" s="48" t="n">
        <f aca="false">IFERROR(VLOOKUP(H204,Settings!B14:C25,2,FALSE()),0)</f>
        <v>0</v>
      </c>
    </row>
    <row r="205" customFormat="false" ht="15" hidden="false" customHeight="false" outlineLevel="0" collapsed="false">
      <c r="A205" s="41" t="str">
        <f aca="false">IF(B205="","",ROW()-3)</f>
        <v/>
      </c>
      <c r="B205" s="42"/>
      <c r="G205" s="44"/>
      <c r="I205" s="44" t="n">
        <f aca="false">IF(G205="",0,G205*S205)</f>
        <v>0</v>
      </c>
      <c r="J205" s="44"/>
      <c r="K205" s="44" t="n">
        <f aca="false">IF(G205="",0,G205-I205-IF(J205="",0,J205))</f>
        <v>0</v>
      </c>
      <c r="L205" s="44" t="n">
        <f aca="false">IF(O205="",0,IFERROR(INDEX(Purchases!I:I,MATCH(O205*1,Purchases!A:A,0)),0))</f>
        <v>0</v>
      </c>
      <c r="M205" s="44" t="n">
        <f aca="false">IF(G205="",0,K205-L205)</f>
        <v>0</v>
      </c>
      <c r="N205" s="49" t="str">
        <f aca="false">IFERROR(IF(G205="","",M205/G205),"")</f>
        <v/>
      </c>
      <c r="S205" s="49" t="n">
        <f aca="false">IFERROR(VLOOKUP(H205,Settings!B14:C25,2,FALSE()),0)</f>
        <v>0</v>
      </c>
    </row>
    <row r="206" customFormat="false" ht="15" hidden="false" customHeight="false" outlineLevel="0" collapsed="false">
      <c r="A206" s="37" t="str">
        <f aca="false">IF(B206="","",ROW()-3)</f>
        <v/>
      </c>
      <c r="B206" s="38"/>
      <c r="C206" s="39"/>
      <c r="D206" s="39"/>
      <c r="E206" s="39"/>
      <c r="F206" s="39"/>
      <c r="G206" s="40"/>
      <c r="H206" s="39"/>
      <c r="I206" s="40" t="n">
        <f aca="false">IF(G206="",0,G206*S206)</f>
        <v>0</v>
      </c>
      <c r="J206" s="40"/>
      <c r="K206" s="40" t="n">
        <f aca="false">IF(G206="",0,G206-I206-IF(J206="",0,J206))</f>
        <v>0</v>
      </c>
      <c r="L206" s="40" t="n">
        <f aca="false">IF(O206="",0,IFERROR(INDEX(Purchases!I:I,MATCH(O206*1,Purchases!A:A,0)),0))</f>
        <v>0</v>
      </c>
      <c r="M206" s="40" t="n">
        <f aca="false">IF(G206="",0,K206-L206)</f>
        <v>0</v>
      </c>
      <c r="N206" s="48" t="str">
        <f aca="false">IFERROR(IF(G206="","",M206/G206),"")</f>
        <v/>
      </c>
      <c r="O206" s="39"/>
      <c r="P206" s="39"/>
      <c r="Q206" s="39"/>
      <c r="R206" s="39"/>
      <c r="S206" s="48" t="n">
        <f aca="false">IFERROR(VLOOKUP(H206,Settings!B14:C25,2,FALSE()),0)</f>
        <v>0</v>
      </c>
    </row>
    <row r="207" customFormat="false" ht="15" hidden="false" customHeight="false" outlineLevel="0" collapsed="false">
      <c r="A207" s="41" t="str">
        <f aca="false">IF(B207="","",ROW()-3)</f>
        <v/>
      </c>
      <c r="B207" s="42"/>
      <c r="G207" s="44"/>
      <c r="I207" s="44" t="n">
        <f aca="false">IF(G207="",0,G207*S207)</f>
        <v>0</v>
      </c>
      <c r="J207" s="44"/>
      <c r="K207" s="44" t="n">
        <f aca="false">IF(G207="",0,G207-I207-IF(J207="",0,J207))</f>
        <v>0</v>
      </c>
      <c r="L207" s="44" t="n">
        <f aca="false">IF(O207="",0,IFERROR(INDEX(Purchases!I:I,MATCH(O207*1,Purchases!A:A,0)),0))</f>
        <v>0</v>
      </c>
      <c r="M207" s="44" t="n">
        <f aca="false">IF(G207="",0,K207-L207)</f>
        <v>0</v>
      </c>
      <c r="N207" s="49" t="str">
        <f aca="false">IFERROR(IF(G207="","",M207/G207),"")</f>
        <v/>
      </c>
      <c r="S207" s="49" t="n">
        <f aca="false">IFERROR(VLOOKUP(H207,Settings!B14:C25,2,FALSE()),0)</f>
        <v>0</v>
      </c>
    </row>
    <row r="208" customFormat="false" ht="15" hidden="false" customHeight="false" outlineLevel="0" collapsed="false">
      <c r="A208" s="37" t="str">
        <f aca="false">IF(B208="","",ROW()-3)</f>
        <v/>
      </c>
      <c r="B208" s="38"/>
      <c r="C208" s="39"/>
      <c r="D208" s="39"/>
      <c r="E208" s="39"/>
      <c r="F208" s="39"/>
      <c r="G208" s="40"/>
      <c r="H208" s="39"/>
      <c r="I208" s="40" t="n">
        <f aca="false">IF(G208="",0,G208*S208)</f>
        <v>0</v>
      </c>
      <c r="J208" s="40"/>
      <c r="K208" s="40" t="n">
        <f aca="false">IF(G208="",0,G208-I208-IF(J208="",0,J208))</f>
        <v>0</v>
      </c>
      <c r="L208" s="40" t="n">
        <f aca="false">IF(O208="",0,IFERROR(INDEX(Purchases!I:I,MATCH(O208*1,Purchases!A:A,0)),0))</f>
        <v>0</v>
      </c>
      <c r="M208" s="40" t="n">
        <f aca="false">IF(G208="",0,K208-L208)</f>
        <v>0</v>
      </c>
      <c r="N208" s="48" t="str">
        <f aca="false">IFERROR(IF(G208="","",M208/G208),"")</f>
        <v/>
      </c>
      <c r="O208" s="39"/>
      <c r="P208" s="39"/>
      <c r="Q208" s="39"/>
      <c r="R208" s="39"/>
      <c r="S208" s="48" t="n">
        <f aca="false">IFERROR(VLOOKUP(H208,Settings!B14:C25,2,FALSE()),0)</f>
        <v>0</v>
      </c>
    </row>
    <row r="209" customFormat="false" ht="15" hidden="false" customHeight="false" outlineLevel="0" collapsed="false">
      <c r="A209" s="41" t="str">
        <f aca="false">IF(B209="","",ROW()-3)</f>
        <v/>
      </c>
      <c r="B209" s="42"/>
      <c r="G209" s="44"/>
      <c r="I209" s="44" t="n">
        <f aca="false">IF(G209="",0,G209*S209)</f>
        <v>0</v>
      </c>
      <c r="J209" s="44"/>
      <c r="K209" s="44" t="n">
        <f aca="false">IF(G209="",0,G209-I209-IF(J209="",0,J209))</f>
        <v>0</v>
      </c>
      <c r="L209" s="44" t="n">
        <f aca="false">IF(O209="",0,IFERROR(INDEX(Purchases!I:I,MATCH(O209*1,Purchases!A:A,0)),0))</f>
        <v>0</v>
      </c>
      <c r="M209" s="44" t="n">
        <f aca="false">IF(G209="",0,K209-L209)</f>
        <v>0</v>
      </c>
      <c r="N209" s="49" t="str">
        <f aca="false">IFERROR(IF(G209="","",M209/G209),"")</f>
        <v/>
      </c>
      <c r="S209" s="49" t="n">
        <f aca="false">IFERROR(VLOOKUP(H209,Settings!B14:C25,2,FALSE()),0)</f>
        <v>0</v>
      </c>
    </row>
    <row r="210" customFormat="false" ht="15" hidden="false" customHeight="false" outlineLevel="0" collapsed="false">
      <c r="A210" s="37" t="str">
        <f aca="false">IF(B210="","",ROW()-3)</f>
        <v/>
      </c>
      <c r="B210" s="38"/>
      <c r="C210" s="39"/>
      <c r="D210" s="39"/>
      <c r="E210" s="39"/>
      <c r="F210" s="39"/>
      <c r="G210" s="40"/>
      <c r="H210" s="39"/>
      <c r="I210" s="40" t="n">
        <f aca="false">IF(G210="",0,G210*S210)</f>
        <v>0</v>
      </c>
      <c r="J210" s="40"/>
      <c r="K210" s="40" t="n">
        <f aca="false">IF(G210="",0,G210-I210-IF(J210="",0,J210))</f>
        <v>0</v>
      </c>
      <c r="L210" s="40" t="n">
        <f aca="false">IF(O210="",0,IFERROR(INDEX(Purchases!I:I,MATCH(O210*1,Purchases!A:A,0)),0))</f>
        <v>0</v>
      </c>
      <c r="M210" s="40" t="n">
        <f aca="false">IF(G210="",0,K210-L210)</f>
        <v>0</v>
      </c>
      <c r="N210" s="48" t="str">
        <f aca="false">IFERROR(IF(G210="","",M210/G210),"")</f>
        <v/>
      </c>
      <c r="O210" s="39"/>
      <c r="P210" s="39"/>
      <c r="Q210" s="39"/>
      <c r="R210" s="39"/>
      <c r="S210" s="48" t="n">
        <f aca="false">IFERROR(VLOOKUP(H210,Settings!B14:C25,2,FALSE()),0)</f>
        <v>0</v>
      </c>
    </row>
    <row r="211" customFormat="false" ht="15" hidden="false" customHeight="false" outlineLevel="0" collapsed="false">
      <c r="A211" s="41" t="str">
        <f aca="false">IF(B211="","",ROW()-3)</f>
        <v/>
      </c>
      <c r="B211" s="42"/>
      <c r="G211" s="44"/>
      <c r="I211" s="44" t="n">
        <f aca="false">IF(G211="",0,G211*S211)</f>
        <v>0</v>
      </c>
      <c r="J211" s="44"/>
      <c r="K211" s="44" t="n">
        <f aca="false">IF(G211="",0,G211-I211-IF(J211="",0,J211))</f>
        <v>0</v>
      </c>
      <c r="L211" s="44" t="n">
        <f aca="false">IF(O211="",0,IFERROR(INDEX(Purchases!I:I,MATCH(O211*1,Purchases!A:A,0)),0))</f>
        <v>0</v>
      </c>
      <c r="M211" s="44" t="n">
        <f aca="false">IF(G211="",0,K211-L211)</f>
        <v>0</v>
      </c>
      <c r="N211" s="49" t="str">
        <f aca="false">IFERROR(IF(G211="","",M211/G211),"")</f>
        <v/>
      </c>
      <c r="S211" s="49" t="n">
        <f aca="false">IFERROR(VLOOKUP(H211,Settings!B14:C25,2,FALSE()),0)</f>
        <v>0</v>
      </c>
    </row>
    <row r="212" customFormat="false" ht="15" hidden="false" customHeight="false" outlineLevel="0" collapsed="false">
      <c r="A212" s="37" t="str">
        <f aca="false">IF(B212="","",ROW()-3)</f>
        <v/>
      </c>
      <c r="B212" s="38"/>
      <c r="C212" s="39"/>
      <c r="D212" s="39"/>
      <c r="E212" s="39"/>
      <c r="F212" s="39"/>
      <c r="G212" s="40"/>
      <c r="H212" s="39"/>
      <c r="I212" s="40" t="n">
        <f aca="false">IF(G212="",0,G212*S212)</f>
        <v>0</v>
      </c>
      <c r="J212" s="40"/>
      <c r="K212" s="40" t="n">
        <f aca="false">IF(G212="",0,G212-I212-IF(J212="",0,J212))</f>
        <v>0</v>
      </c>
      <c r="L212" s="40" t="n">
        <f aca="false">IF(O212="",0,IFERROR(INDEX(Purchases!I:I,MATCH(O212*1,Purchases!A:A,0)),0))</f>
        <v>0</v>
      </c>
      <c r="M212" s="40" t="n">
        <f aca="false">IF(G212="",0,K212-L212)</f>
        <v>0</v>
      </c>
      <c r="N212" s="48" t="str">
        <f aca="false">IFERROR(IF(G212="","",M212/G212),"")</f>
        <v/>
      </c>
      <c r="O212" s="39"/>
      <c r="P212" s="39"/>
      <c r="Q212" s="39"/>
      <c r="R212" s="39"/>
      <c r="S212" s="48" t="n">
        <f aca="false">IFERROR(VLOOKUP(H212,Settings!B14:C25,2,FALSE()),0)</f>
        <v>0</v>
      </c>
    </row>
    <row r="213" customFormat="false" ht="15" hidden="false" customHeight="false" outlineLevel="0" collapsed="false">
      <c r="A213" s="41" t="str">
        <f aca="false">IF(B213="","",ROW()-3)</f>
        <v/>
      </c>
      <c r="B213" s="42"/>
      <c r="G213" s="44"/>
      <c r="I213" s="44" t="n">
        <f aca="false">IF(G213="",0,G213*S213)</f>
        <v>0</v>
      </c>
      <c r="J213" s="44"/>
      <c r="K213" s="44" t="n">
        <f aca="false">IF(G213="",0,G213-I213-IF(J213="",0,J213))</f>
        <v>0</v>
      </c>
      <c r="L213" s="44" t="n">
        <f aca="false">IF(O213="",0,IFERROR(INDEX(Purchases!I:I,MATCH(O213*1,Purchases!A:A,0)),0))</f>
        <v>0</v>
      </c>
      <c r="M213" s="44" t="n">
        <f aca="false">IF(G213="",0,K213-L213)</f>
        <v>0</v>
      </c>
      <c r="N213" s="49" t="str">
        <f aca="false">IFERROR(IF(G213="","",M213/G213),"")</f>
        <v/>
      </c>
      <c r="S213" s="49" t="n">
        <f aca="false">IFERROR(VLOOKUP(H213,Settings!B14:C25,2,FALSE()),0)</f>
        <v>0</v>
      </c>
    </row>
    <row r="214" customFormat="false" ht="15" hidden="false" customHeight="false" outlineLevel="0" collapsed="false">
      <c r="A214" s="37" t="str">
        <f aca="false">IF(B214="","",ROW()-3)</f>
        <v/>
      </c>
      <c r="B214" s="38"/>
      <c r="C214" s="39"/>
      <c r="D214" s="39"/>
      <c r="E214" s="39"/>
      <c r="F214" s="39"/>
      <c r="G214" s="40"/>
      <c r="H214" s="39"/>
      <c r="I214" s="40" t="n">
        <f aca="false">IF(G214="",0,G214*S214)</f>
        <v>0</v>
      </c>
      <c r="J214" s="40"/>
      <c r="K214" s="40" t="n">
        <f aca="false">IF(G214="",0,G214-I214-IF(J214="",0,J214))</f>
        <v>0</v>
      </c>
      <c r="L214" s="40" t="n">
        <f aca="false">IF(O214="",0,IFERROR(INDEX(Purchases!I:I,MATCH(O214*1,Purchases!A:A,0)),0))</f>
        <v>0</v>
      </c>
      <c r="M214" s="40" t="n">
        <f aca="false">IF(G214="",0,K214-L214)</f>
        <v>0</v>
      </c>
      <c r="N214" s="48" t="str">
        <f aca="false">IFERROR(IF(G214="","",M214/G214),"")</f>
        <v/>
      </c>
      <c r="O214" s="39"/>
      <c r="P214" s="39"/>
      <c r="Q214" s="39"/>
      <c r="R214" s="39"/>
      <c r="S214" s="48" t="n">
        <f aca="false">IFERROR(VLOOKUP(H214,Settings!B14:C25,2,FALSE()),0)</f>
        <v>0</v>
      </c>
    </row>
    <row r="215" customFormat="false" ht="15" hidden="false" customHeight="false" outlineLevel="0" collapsed="false">
      <c r="A215" s="41" t="str">
        <f aca="false">IF(B215="","",ROW()-3)</f>
        <v/>
      </c>
      <c r="B215" s="42"/>
      <c r="G215" s="44"/>
      <c r="I215" s="44" t="n">
        <f aca="false">IF(G215="",0,G215*S215)</f>
        <v>0</v>
      </c>
      <c r="J215" s="44"/>
      <c r="K215" s="44" t="n">
        <f aca="false">IF(G215="",0,G215-I215-IF(J215="",0,J215))</f>
        <v>0</v>
      </c>
      <c r="L215" s="44" t="n">
        <f aca="false">IF(O215="",0,IFERROR(INDEX(Purchases!I:I,MATCH(O215*1,Purchases!A:A,0)),0))</f>
        <v>0</v>
      </c>
      <c r="M215" s="44" t="n">
        <f aca="false">IF(G215="",0,K215-L215)</f>
        <v>0</v>
      </c>
      <c r="N215" s="49" t="str">
        <f aca="false">IFERROR(IF(G215="","",M215/G215),"")</f>
        <v/>
      </c>
      <c r="S215" s="49" t="n">
        <f aca="false">IFERROR(VLOOKUP(H215,Settings!B14:C25,2,FALSE()),0)</f>
        <v>0</v>
      </c>
    </row>
    <row r="216" customFormat="false" ht="15" hidden="false" customHeight="false" outlineLevel="0" collapsed="false">
      <c r="A216" s="37" t="str">
        <f aca="false">IF(B216="","",ROW()-3)</f>
        <v/>
      </c>
      <c r="B216" s="38"/>
      <c r="C216" s="39"/>
      <c r="D216" s="39"/>
      <c r="E216" s="39"/>
      <c r="F216" s="39"/>
      <c r="G216" s="40"/>
      <c r="H216" s="39"/>
      <c r="I216" s="40" t="n">
        <f aca="false">IF(G216="",0,G216*S216)</f>
        <v>0</v>
      </c>
      <c r="J216" s="40"/>
      <c r="K216" s="40" t="n">
        <f aca="false">IF(G216="",0,G216-I216-IF(J216="",0,J216))</f>
        <v>0</v>
      </c>
      <c r="L216" s="40" t="n">
        <f aca="false">IF(O216="",0,IFERROR(INDEX(Purchases!I:I,MATCH(O216*1,Purchases!A:A,0)),0))</f>
        <v>0</v>
      </c>
      <c r="M216" s="40" t="n">
        <f aca="false">IF(G216="",0,K216-L216)</f>
        <v>0</v>
      </c>
      <c r="N216" s="48" t="str">
        <f aca="false">IFERROR(IF(G216="","",M216/G216),"")</f>
        <v/>
      </c>
      <c r="O216" s="39"/>
      <c r="P216" s="39"/>
      <c r="Q216" s="39"/>
      <c r="R216" s="39"/>
      <c r="S216" s="48" t="n">
        <f aca="false">IFERROR(VLOOKUP(H216,Settings!B14:C25,2,FALSE()),0)</f>
        <v>0</v>
      </c>
    </row>
    <row r="217" customFormat="false" ht="15" hidden="false" customHeight="false" outlineLevel="0" collapsed="false">
      <c r="A217" s="41" t="str">
        <f aca="false">IF(B217="","",ROW()-3)</f>
        <v/>
      </c>
      <c r="B217" s="42"/>
      <c r="G217" s="44"/>
      <c r="I217" s="44" t="n">
        <f aca="false">IF(G217="",0,G217*S217)</f>
        <v>0</v>
      </c>
      <c r="J217" s="44"/>
      <c r="K217" s="44" t="n">
        <f aca="false">IF(G217="",0,G217-I217-IF(J217="",0,J217))</f>
        <v>0</v>
      </c>
      <c r="L217" s="44" t="n">
        <f aca="false">IF(O217="",0,IFERROR(INDEX(Purchases!I:I,MATCH(O217*1,Purchases!A:A,0)),0))</f>
        <v>0</v>
      </c>
      <c r="M217" s="44" t="n">
        <f aca="false">IF(G217="",0,K217-L217)</f>
        <v>0</v>
      </c>
      <c r="N217" s="49" t="str">
        <f aca="false">IFERROR(IF(G217="","",M217/G217),"")</f>
        <v/>
      </c>
      <c r="S217" s="49" t="n">
        <f aca="false">IFERROR(VLOOKUP(H217,Settings!B14:C25,2,FALSE()),0)</f>
        <v>0</v>
      </c>
    </row>
    <row r="218" customFormat="false" ht="15" hidden="false" customHeight="false" outlineLevel="0" collapsed="false">
      <c r="A218" s="37" t="str">
        <f aca="false">IF(B218="","",ROW()-3)</f>
        <v/>
      </c>
      <c r="B218" s="38"/>
      <c r="C218" s="39"/>
      <c r="D218" s="39"/>
      <c r="E218" s="39"/>
      <c r="F218" s="39"/>
      <c r="G218" s="40"/>
      <c r="H218" s="39"/>
      <c r="I218" s="40" t="n">
        <f aca="false">IF(G218="",0,G218*S218)</f>
        <v>0</v>
      </c>
      <c r="J218" s="40"/>
      <c r="K218" s="40" t="n">
        <f aca="false">IF(G218="",0,G218-I218-IF(J218="",0,J218))</f>
        <v>0</v>
      </c>
      <c r="L218" s="40" t="n">
        <f aca="false">IF(O218="",0,IFERROR(INDEX(Purchases!I:I,MATCH(O218*1,Purchases!A:A,0)),0))</f>
        <v>0</v>
      </c>
      <c r="M218" s="40" t="n">
        <f aca="false">IF(G218="",0,K218-L218)</f>
        <v>0</v>
      </c>
      <c r="N218" s="48" t="str">
        <f aca="false">IFERROR(IF(G218="","",M218/G218),"")</f>
        <v/>
      </c>
      <c r="O218" s="39"/>
      <c r="P218" s="39"/>
      <c r="Q218" s="39"/>
      <c r="R218" s="39"/>
      <c r="S218" s="48" t="n">
        <f aca="false">IFERROR(VLOOKUP(H218,Settings!B14:C25,2,FALSE()),0)</f>
        <v>0</v>
      </c>
    </row>
    <row r="219" customFormat="false" ht="15" hidden="false" customHeight="false" outlineLevel="0" collapsed="false">
      <c r="A219" s="41" t="str">
        <f aca="false">IF(B219="","",ROW()-3)</f>
        <v/>
      </c>
      <c r="B219" s="42"/>
      <c r="G219" s="44"/>
      <c r="I219" s="44" t="n">
        <f aca="false">IF(G219="",0,G219*S219)</f>
        <v>0</v>
      </c>
      <c r="J219" s="44"/>
      <c r="K219" s="44" t="n">
        <f aca="false">IF(G219="",0,G219-I219-IF(J219="",0,J219))</f>
        <v>0</v>
      </c>
      <c r="L219" s="44" t="n">
        <f aca="false">IF(O219="",0,IFERROR(INDEX(Purchases!I:I,MATCH(O219*1,Purchases!A:A,0)),0))</f>
        <v>0</v>
      </c>
      <c r="M219" s="44" t="n">
        <f aca="false">IF(G219="",0,K219-L219)</f>
        <v>0</v>
      </c>
      <c r="N219" s="49" t="str">
        <f aca="false">IFERROR(IF(G219="","",M219/G219),"")</f>
        <v/>
      </c>
      <c r="S219" s="49" t="n">
        <f aca="false">IFERROR(VLOOKUP(H219,Settings!B14:C25,2,FALSE()),0)</f>
        <v>0</v>
      </c>
    </row>
    <row r="220" customFormat="false" ht="15" hidden="false" customHeight="false" outlineLevel="0" collapsed="false">
      <c r="A220" s="37" t="str">
        <f aca="false">IF(B220="","",ROW()-3)</f>
        <v/>
      </c>
      <c r="B220" s="38"/>
      <c r="C220" s="39"/>
      <c r="D220" s="39"/>
      <c r="E220" s="39"/>
      <c r="F220" s="39"/>
      <c r="G220" s="40"/>
      <c r="H220" s="39"/>
      <c r="I220" s="40" t="n">
        <f aca="false">IF(G220="",0,G220*S220)</f>
        <v>0</v>
      </c>
      <c r="J220" s="40"/>
      <c r="K220" s="40" t="n">
        <f aca="false">IF(G220="",0,G220-I220-IF(J220="",0,J220))</f>
        <v>0</v>
      </c>
      <c r="L220" s="40" t="n">
        <f aca="false">IF(O220="",0,IFERROR(INDEX(Purchases!I:I,MATCH(O220*1,Purchases!A:A,0)),0))</f>
        <v>0</v>
      </c>
      <c r="M220" s="40" t="n">
        <f aca="false">IF(G220="",0,K220-L220)</f>
        <v>0</v>
      </c>
      <c r="N220" s="48" t="str">
        <f aca="false">IFERROR(IF(G220="","",M220/G220),"")</f>
        <v/>
      </c>
      <c r="O220" s="39"/>
      <c r="P220" s="39"/>
      <c r="Q220" s="39"/>
      <c r="R220" s="39"/>
      <c r="S220" s="48" t="n">
        <f aca="false">IFERROR(VLOOKUP(H220,Settings!B14:C25,2,FALSE()),0)</f>
        <v>0</v>
      </c>
    </row>
    <row r="221" customFormat="false" ht="15" hidden="false" customHeight="false" outlineLevel="0" collapsed="false">
      <c r="A221" s="41" t="str">
        <f aca="false">IF(B221="","",ROW()-3)</f>
        <v/>
      </c>
      <c r="B221" s="42"/>
      <c r="G221" s="44"/>
      <c r="I221" s="44" t="n">
        <f aca="false">IF(G221="",0,G221*S221)</f>
        <v>0</v>
      </c>
      <c r="J221" s="44"/>
      <c r="K221" s="44" t="n">
        <f aca="false">IF(G221="",0,G221-I221-IF(J221="",0,J221))</f>
        <v>0</v>
      </c>
      <c r="L221" s="44" t="n">
        <f aca="false">IF(O221="",0,IFERROR(INDEX(Purchases!I:I,MATCH(O221*1,Purchases!A:A,0)),0))</f>
        <v>0</v>
      </c>
      <c r="M221" s="44" t="n">
        <f aca="false">IF(G221="",0,K221-L221)</f>
        <v>0</v>
      </c>
      <c r="N221" s="49" t="str">
        <f aca="false">IFERROR(IF(G221="","",M221/G221),"")</f>
        <v/>
      </c>
      <c r="S221" s="49" t="n">
        <f aca="false">IFERROR(VLOOKUP(H221,Settings!B14:C25,2,FALSE()),0)</f>
        <v>0</v>
      </c>
    </row>
    <row r="222" customFormat="false" ht="15" hidden="false" customHeight="false" outlineLevel="0" collapsed="false">
      <c r="A222" s="37" t="str">
        <f aca="false">IF(B222="","",ROW()-3)</f>
        <v/>
      </c>
      <c r="B222" s="38"/>
      <c r="C222" s="39"/>
      <c r="D222" s="39"/>
      <c r="E222" s="39"/>
      <c r="F222" s="39"/>
      <c r="G222" s="40"/>
      <c r="H222" s="39"/>
      <c r="I222" s="40" t="n">
        <f aca="false">IF(G222="",0,G222*S222)</f>
        <v>0</v>
      </c>
      <c r="J222" s="40"/>
      <c r="K222" s="40" t="n">
        <f aca="false">IF(G222="",0,G222-I222-IF(J222="",0,J222))</f>
        <v>0</v>
      </c>
      <c r="L222" s="40" t="n">
        <f aca="false">IF(O222="",0,IFERROR(INDEX(Purchases!I:I,MATCH(O222*1,Purchases!A:A,0)),0))</f>
        <v>0</v>
      </c>
      <c r="M222" s="40" t="n">
        <f aca="false">IF(G222="",0,K222-L222)</f>
        <v>0</v>
      </c>
      <c r="N222" s="48" t="str">
        <f aca="false">IFERROR(IF(G222="","",M222/G222),"")</f>
        <v/>
      </c>
      <c r="O222" s="39"/>
      <c r="P222" s="39"/>
      <c r="Q222" s="39"/>
      <c r="R222" s="39"/>
      <c r="S222" s="48" t="n">
        <f aca="false">IFERROR(VLOOKUP(H222,Settings!B14:C25,2,FALSE()),0)</f>
        <v>0</v>
      </c>
    </row>
    <row r="223" customFormat="false" ht="15" hidden="false" customHeight="false" outlineLevel="0" collapsed="false">
      <c r="A223" s="41" t="str">
        <f aca="false">IF(B223="","",ROW()-3)</f>
        <v/>
      </c>
      <c r="B223" s="42"/>
      <c r="G223" s="44"/>
      <c r="I223" s="44" t="n">
        <f aca="false">IF(G223="",0,G223*S223)</f>
        <v>0</v>
      </c>
      <c r="J223" s="44"/>
      <c r="K223" s="44" t="n">
        <f aca="false">IF(G223="",0,G223-I223-IF(J223="",0,J223))</f>
        <v>0</v>
      </c>
      <c r="L223" s="44" t="n">
        <f aca="false">IF(O223="",0,IFERROR(INDEX(Purchases!I:I,MATCH(O223*1,Purchases!A:A,0)),0))</f>
        <v>0</v>
      </c>
      <c r="M223" s="44" t="n">
        <f aca="false">IF(G223="",0,K223-L223)</f>
        <v>0</v>
      </c>
      <c r="N223" s="49" t="str">
        <f aca="false">IFERROR(IF(G223="","",M223/G223),"")</f>
        <v/>
      </c>
      <c r="S223" s="49" t="n">
        <f aca="false">IFERROR(VLOOKUP(H223,Settings!B14:C25,2,FALSE()),0)</f>
        <v>0</v>
      </c>
    </row>
    <row r="224" customFormat="false" ht="15" hidden="false" customHeight="false" outlineLevel="0" collapsed="false">
      <c r="A224" s="37" t="str">
        <f aca="false">IF(B224="","",ROW()-3)</f>
        <v/>
      </c>
      <c r="B224" s="38"/>
      <c r="C224" s="39"/>
      <c r="D224" s="39"/>
      <c r="E224" s="39"/>
      <c r="F224" s="39"/>
      <c r="G224" s="40"/>
      <c r="H224" s="39"/>
      <c r="I224" s="40" t="n">
        <f aca="false">IF(G224="",0,G224*S224)</f>
        <v>0</v>
      </c>
      <c r="J224" s="40"/>
      <c r="K224" s="40" t="n">
        <f aca="false">IF(G224="",0,G224-I224-IF(J224="",0,J224))</f>
        <v>0</v>
      </c>
      <c r="L224" s="40" t="n">
        <f aca="false">IF(O224="",0,IFERROR(INDEX(Purchases!I:I,MATCH(O224*1,Purchases!A:A,0)),0))</f>
        <v>0</v>
      </c>
      <c r="M224" s="40" t="n">
        <f aca="false">IF(G224="",0,K224-L224)</f>
        <v>0</v>
      </c>
      <c r="N224" s="48" t="str">
        <f aca="false">IFERROR(IF(G224="","",M224/G224),"")</f>
        <v/>
      </c>
      <c r="O224" s="39"/>
      <c r="P224" s="39"/>
      <c r="Q224" s="39"/>
      <c r="R224" s="39"/>
      <c r="S224" s="48" t="n">
        <f aca="false">IFERROR(VLOOKUP(H224,Settings!B14:C25,2,FALSE()),0)</f>
        <v>0</v>
      </c>
    </row>
    <row r="225" customFormat="false" ht="15" hidden="false" customHeight="false" outlineLevel="0" collapsed="false">
      <c r="A225" s="41" t="str">
        <f aca="false">IF(B225="","",ROW()-3)</f>
        <v/>
      </c>
      <c r="B225" s="42"/>
      <c r="G225" s="44"/>
      <c r="I225" s="44" t="n">
        <f aca="false">IF(G225="",0,G225*S225)</f>
        <v>0</v>
      </c>
      <c r="J225" s="44"/>
      <c r="K225" s="44" t="n">
        <f aca="false">IF(G225="",0,G225-I225-IF(J225="",0,J225))</f>
        <v>0</v>
      </c>
      <c r="L225" s="44" t="n">
        <f aca="false">IF(O225="",0,IFERROR(INDEX(Purchases!I:I,MATCH(O225*1,Purchases!A:A,0)),0))</f>
        <v>0</v>
      </c>
      <c r="M225" s="44" t="n">
        <f aca="false">IF(G225="",0,K225-L225)</f>
        <v>0</v>
      </c>
      <c r="N225" s="49" t="str">
        <f aca="false">IFERROR(IF(G225="","",M225/G225),"")</f>
        <v/>
      </c>
      <c r="S225" s="49" t="n">
        <f aca="false">IFERROR(VLOOKUP(H225,Settings!B14:C25,2,FALSE()),0)</f>
        <v>0</v>
      </c>
    </row>
    <row r="226" customFormat="false" ht="15" hidden="false" customHeight="false" outlineLevel="0" collapsed="false">
      <c r="A226" s="37" t="str">
        <f aca="false">IF(B226="","",ROW()-3)</f>
        <v/>
      </c>
      <c r="B226" s="38"/>
      <c r="C226" s="39"/>
      <c r="D226" s="39"/>
      <c r="E226" s="39"/>
      <c r="F226" s="39"/>
      <c r="G226" s="40"/>
      <c r="H226" s="39"/>
      <c r="I226" s="40" t="n">
        <f aca="false">IF(G226="",0,G226*S226)</f>
        <v>0</v>
      </c>
      <c r="J226" s="40"/>
      <c r="K226" s="40" t="n">
        <f aca="false">IF(G226="",0,G226-I226-IF(J226="",0,J226))</f>
        <v>0</v>
      </c>
      <c r="L226" s="40" t="n">
        <f aca="false">IF(O226="",0,IFERROR(INDEX(Purchases!I:I,MATCH(O226*1,Purchases!A:A,0)),0))</f>
        <v>0</v>
      </c>
      <c r="M226" s="40" t="n">
        <f aca="false">IF(G226="",0,K226-L226)</f>
        <v>0</v>
      </c>
      <c r="N226" s="48" t="str">
        <f aca="false">IFERROR(IF(G226="","",M226/G226),"")</f>
        <v/>
      </c>
      <c r="O226" s="39"/>
      <c r="P226" s="39"/>
      <c r="Q226" s="39"/>
      <c r="R226" s="39"/>
      <c r="S226" s="48" t="n">
        <f aca="false">IFERROR(VLOOKUP(H226,Settings!B14:C25,2,FALSE()),0)</f>
        <v>0</v>
      </c>
    </row>
    <row r="227" customFormat="false" ht="15" hidden="false" customHeight="false" outlineLevel="0" collapsed="false">
      <c r="A227" s="41" t="str">
        <f aca="false">IF(B227="","",ROW()-3)</f>
        <v/>
      </c>
      <c r="B227" s="42"/>
      <c r="G227" s="44"/>
      <c r="I227" s="44" t="n">
        <f aca="false">IF(G227="",0,G227*S227)</f>
        <v>0</v>
      </c>
      <c r="J227" s="44"/>
      <c r="K227" s="44" t="n">
        <f aca="false">IF(G227="",0,G227-I227-IF(J227="",0,J227))</f>
        <v>0</v>
      </c>
      <c r="L227" s="44" t="n">
        <f aca="false">IF(O227="",0,IFERROR(INDEX(Purchases!I:I,MATCH(O227*1,Purchases!A:A,0)),0))</f>
        <v>0</v>
      </c>
      <c r="M227" s="44" t="n">
        <f aca="false">IF(G227="",0,K227-L227)</f>
        <v>0</v>
      </c>
      <c r="N227" s="49" t="str">
        <f aca="false">IFERROR(IF(G227="","",M227/G227),"")</f>
        <v/>
      </c>
      <c r="S227" s="49" t="n">
        <f aca="false">IFERROR(VLOOKUP(H227,Settings!B14:C25,2,FALSE()),0)</f>
        <v>0</v>
      </c>
    </row>
    <row r="228" customFormat="false" ht="15" hidden="false" customHeight="false" outlineLevel="0" collapsed="false">
      <c r="A228" s="37" t="str">
        <f aca="false">IF(B228="","",ROW()-3)</f>
        <v/>
      </c>
      <c r="B228" s="38"/>
      <c r="C228" s="39"/>
      <c r="D228" s="39"/>
      <c r="E228" s="39"/>
      <c r="F228" s="39"/>
      <c r="G228" s="40"/>
      <c r="H228" s="39"/>
      <c r="I228" s="40" t="n">
        <f aca="false">IF(G228="",0,G228*S228)</f>
        <v>0</v>
      </c>
      <c r="J228" s="40"/>
      <c r="K228" s="40" t="n">
        <f aca="false">IF(G228="",0,G228-I228-IF(J228="",0,J228))</f>
        <v>0</v>
      </c>
      <c r="L228" s="40" t="n">
        <f aca="false">IF(O228="",0,IFERROR(INDEX(Purchases!I:I,MATCH(O228*1,Purchases!A:A,0)),0))</f>
        <v>0</v>
      </c>
      <c r="M228" s="40" t="n">
        <f aca="false">IF(G228="",0,K228-L228)</f>
        <v>0</v>
      </c>
      <c r="N228" s="48" t="str">
        <f aca="false">IFERROR(IF(G228="","",M228/G228),"")</f>
        <v/>
      </c>
      <c r="O228" s="39"/>
      <c r="P228" s="39"/>
      <c r="Q228" s="39"/>
      <c r="R228" s="39"/>
      <c r="S228" s="48" t="n">
        <f aca="false">IFERROR(VLOOKUP(H228,Settings!B14:C25,2,FALSE()),0)</f>
        <v>0</v>
      </c>
    </row>
    <row r="229" customFormat="false" ht="15" hidden="false" customHeight="false" outlineLevel="0" collapsed="false">
      <c r="A229" s="41" t="str">
        <f aca="false">IF(B229="","",ROW()-3)</f>
        <v/>
      </c>
      <c r="B229" s="42"/>
      <c r="G229" s="44"/>
      <c r="I229" s="44" t="n">
        <f aca="false">IF(G229="",0,G229*S229)</f>
        <v>0</v>
      </c>
      <c r="J229" s="44"/>
      <c r="K229" s="44" t="n">
        <f aca="false">IF(G229="",0,G229-I229-IF(J229="",0,J229))</f>
        <v>0</v>
      </c>
      <c r="L229" s="44" t="n">
        <f aca="false">IF(O229="",0,IFERROR(INDEX(Purchases!I:I,MATCH(O229*1,Purchases!A:A,0)),0))</f>
        <v>0</v>
      </c>
      <c r="M229" s="44" t="n">
        <f aca="false">IF(G229="",0,K229-L229)</f>
        <v>0</v>
      </c>
      <c r="N229" s="49" t="str">
        <f aca="false">IFERROR(IF(G229="","",M229/G229),"")</f>
        <v/>
      </c>
      <c r="S229" s="49" t="n">
        <f aca="false">IFERROR(VLOOKUP(H229,Settings!B14:C25,2,FALSE()),0)</f>
        <v>0</v>
      </c>
    </row>
    <row r="230" customFormat="false" ht="15" hidden="false" customHeight="false" outlineLevel="0" collapsed="false">
      <c r="A230" s="37" t="str">
        <f aca="false">IF(B230="","",ROW()-3)</f>
        <v/>
      </c>
      <c r="B230" s="38"/>
      <c r="C230" s="39"/>
      <c r="D230" s="39"/>
      <c r="E230" s="39"/>
      <c r="F230" s="39"/>
      <c r="G230" s="40"/>
      <c r="H230" s="39"/>
      <c r="I230" s="40" t="n">
        <f aca="false">IF(G230="",0,G230*S230)</f>
        <v>0</v>
      </c>
      <c r="J230" s="40"/>
      <c r="K230" s="40" t="n">
        <f aca="false">IF(G230="",0,G230-I230-IF(J230="",0,J230))</f>
        <v>0</v>
      </c>
      <c r="L230" s="40" t="n">
        <f aca="false">IF(O230="",0,IFERROR(INDEX(Purchases!I:I,MATCH(O230*1,Purchases!A:A,0)),0))</f>
        <v>0</v>
      </c>
      <c r="M230" s="40" t="n">
        <f aca="false">IF(G230="",0,K230-L230)</f>
        <v>0</v>
      </c>
      <c r="N230" s="48" t="str">
        <f aca="false">IFERROR(IF(G230="","",M230/G230),"")</f>
        <v/>
      </c>
      <c r="O230" s="39"/>
      <c r="P230" s="39"/>
      <c r="Q230" s="39"/>
      <c r="R230" s="39"/>
      <c r="S230" s="48" t="n">
        <f aca="false">IFERROR(VLOOKUP(H230,Settings!B14:C25,2,FALSE()),0)</f>
        <v>0</v>
      </c>
    </row>
    <row r="231" customFormat="false" ht="15" hidden="false" customHeight="false" outlineLevel="0" collapsed="false">
      <c r="A231" s="41" t="str">
        <f aca="false">IF(B231="","",ROW()-3)</f>
        <v/>
      </c>
      <c r="B231" s="42"/>
      <c r="G231" s="44"/>
      <c r="I231" s="44" t="n">
        <f aca="false">IF(G231="",0,G231*S231)</f>
        <v>0</v>
      </c>
      <c r="J231" s="44"/>
      <c r="K231" s="44" t="n">
        <f aca="false">IF(G231="",0,G231-I231-IF(J231="",0,J231))</f>
        <v>0</v>
      </c>
      <c r="L231" s="44" t="n">
        <f aca="false">IF(O231="",0,IFERROR(INDEX(Purchases!I:I,MATCH(O231*1,Purchases!A:A,0)),0))</f>
        <v>0</v>
      </c>
      <c r="M231" s="44" t="n">
        <f aca="false">IF(G231="",0,K231-L231)</f>
        <v>0</v>
      </c>
      <c r="N231" s="49" t="str">
        <f aca="false">IFERROR(IF(G231="","",M231/G231),"")</f>
        <v/>
      </c>
      <c r="S231" s="49" t="n">
        <f aca="false">IFERROR(VLOOKUP(H231,Settings!B14:C25,2,FALSE()),0)</f>
        <v>0</v>
      </c>
    </row>
    <row r="232" customFormat="false" ht="15" hidden="false" customHeight="false" outlineLevel="0" collapsed="false">
      <c r="A232" s="37" t="str">
        <f aca="false">IF(B232="","",ROW()-3)</f>
        <v/>
      </c>
      <c r="B232" s="38"/>
      <c r="C232" s="39"/>
      <c r="D232" s="39"/>
      <c r="E232" s="39"/>
      <c r="F232" s="39"/>
      <c r="G232" s="40"/>
      <c r="H232" s="39"/>
      <c r="I232" s="40" t="n">
        <f aca="false">IF(G232="",0,G232*S232)</f>
        <v>0</v>
      </c>
      <c r="J232" s="40"/>
      <c r="K232" s="40" t="n">
        <f aca="false">IF(G232="",0,G232-I232-IF(J232="",0,J232))</f>
        <v>0</v>
      </c>
      <c r="L232" s="40" t="n">
        <f aca="false">IF(O232="",0,IFERROR(INDEX(Purchases!I:I,MATCH(O232*1,Purchases!A:A,0)),0))</f>
        <v>0</v>
      </c>
      <c r="M232" s="40" t="n">
        <f aca="false">IF(G232="",0,K232-L232)</f>
        <v>0</v>
      </c>
      <c r="N232" s="48" t="str">
        <f aca="false">IFERROR(IF(G232="","",M232/G232),"")</f>
        <v/>
      </c>
      <c r="O232" s="39"/>
      <c r="P232" s="39"/>
      <c r="Q232" s="39"/>
      <c r="R232" s="39"/>
      <c r="S232" s="48" t="n">
        <f aca="false">IFERROR(VLOOKUP(H232,Settings!B14:C25,2,FALSE()),0)</f>
        <v>0</v>
      </c>
    </row>
    <row r="233" customFormat="false" ht="15" hidden="false" customHeight="false" outlineLevel="0" collapsed="false">
      <c r="A233" s="41" t="str">
        <f aca="false">IF(B233="","",ROW()-3)</f>
        <v/>
      </c>
      <c r="B233" s="42"/>
      <c r="G233" s="44"/>
      <c r="I233" s="44" t="n">
        <f aca="false">IF(G233="",0,G233*S233)</f>
        <v>0</v>
      </c>
      <c r="J233" s="44"/>
      <c r="K233" s="44" t="n">
        <f aca="false">IF(G233="",0,G233-I233-IF(J233="",0,J233))</f>
        <v>0</v>
      </c>
      <c r="L233" s="44" t="n">
        <f aca="false">IF(O233="",0,IFERROR(INDEX(Purchases!I:I,MATCH(O233*1,Purchases!A:A,0)),0))</f>
        <v>0</v>
      </c>
      <c r="M233" s="44" t="n">
        <f aca="false">IF(G233="",0,K233-L233)</f>
        <v>0</v>
      </c>
      <c r="N233" s="49" t="str">
        <f aca="false">IFERROR(IF(G233="","",M233/G233),"")</f>
        <v/>
      </c>
      <c r="S233" s="49" t="n">
        <f aca="false">IFERROR(VLOOKUP(H233,Settings!B14:C25,2,FALSE()),0)</f>
        <v>0</v>
      </c>
    </row>
    <row r="234" customFormat="false" ht="15" hidden="false" customHeight="false" outlineLevel="0" collapsed="false">
      <c r="A234" s="37" t="str">
        <f aca="false">IF(B234="","",ROW()-3)</f>
        <v/>
      </c>
      <c r="B234" s="38"/>
      <c r="C234" s="39"/>
      <c r="D234" s="39"/>
      <c r="E234" s="39"/>
      <c r="F234" s="39"/>
      <c r="G234" s="40"/>
      <c r="H234" s="39"/>
      <c r="I234" s="40" t="n">
        <f aca="false">IF(G234="",0,G234*S234)</f>
        <v>0</v>
      </c>
      <c r="J234" s="40"/>
      <c r="K234" s="40" t="n">
        <f aca="false">IF(G234="",0,G234-I234-IF(J234="",0,J234))</f>
        <v>0</v>
      </c>
      <c r="L234" s="40" t="n">
        <f aca="false">IF(O234="",0,IFERROR(INDEX(Purchases!I:I,MATCH(O234*1,Purchases!A:A,0)),0))</f>
        <v>0</v>
      </c>
      <c r="M234" s="40" t="n">
        <f aca="false">IF(G234="",0,K234-L234)</f>
        <v>0</v>
      </c>
      <c r="N234" s="48" t="str">
        <f aca="false">IFERROR(IF(G234="","",M234/G234),"")</f>
        <v/>
      </c>
      <c r="O234" s="39"/>
      <c r="P234" s="39"/>
      <c r="Q234" s="39"/>
      <c r="R234" s="39"/>
      <c r="S234" s="48" t="n">
        <f aca="false">IFERROR(VLOOKUP(H234,Settings!B14:C25,2,FALSE()),0)</f>
        <v>0</v>
      </c>
    </row>
    <row r="235" customFormat="false" ht="15" hidden="false" customHeight="false" outlineLevel="0" collapsed="false">
      <c r="A235" s="41" t="str">
        <f aca="false">IF(B235="","",ROW()-3)</f>
        <v/>
      </c>
      <c r="B235" s="42"/>
      <c r="G235" s="44"/>
      <c r="I235" s="44" t="n">
        <f aca="false">IF(G235="",0,G235*S235)</f>
        <v>0</v>
      </c>
      <c r="J235" s="44"/>
      <c r="K235" s="44" t="n">
        <f aca="false">IF(G235="",0,G235-I235-IF(J235="",0,J235))</f>
        <v>0</v>
      </c>
      <c r="L235" s="44" t="n">
        <f aca="false">IF(O235="",0,IFERROR(INDEX(Purchases!I:I,MATCH(O235*1,Purchases!A:A,0)),0))</f>
        <v>0</v>
      </c>
      <c r="M235" s="44" t="n">
        <f aca="false">IF(G235="",0,K235-L235)</f>
        <v>0</v>
      </c>
      <c r="N235" s="49" t="str">
        <f aca="false">IFERROR(IF(G235="","",M235/G235),"")</f>
        <v/>
      </c>
      <c r="S235" s="49" t="n">
        <f aca="false">IFERROR(VLOOKUP(H235,Settings!B14:C25,2,FALSE()),0)</f>
        <v>0</v>
      </c>
    </row>
    <row r="236" customFormat="false" ht="15" hidden="false" customHeight="false" outlineLevel="0" collapsed="false">
      <c r="A236" s="37" t="str">
        <f aca="false">IF(B236="","",ROW()-3)</f>
        <v/>
      </c>
      <c r="B236" s="38"/>
      <c r="C236" s="39"/>
      <c r="D236" s="39"/>
      <c r="E236" s="39"/>
      <c r="F236" s="39"/>
      <c r="G236" s="40"/>
      <c r="H236" s="39"/>
      <c r="I236" s="40" t="n">
        <f aca="false">IF(G236="",0,G236*S236)</f>
        <v>0</v>
      </c>
      <c r="J236" s="40"/>
      <c r="K236" s="40" t="n">
        <f aca="false">IF(G236="",0,G236-I236-IF(J236="",0,J236))</f>
        <v>0</v>
      </c>
      <c r="L236" s="40" t="n">
        <f aca="false">IF(O236="",0,IFERROR(INDEX(Purchases!I:I,MATCH(O236*1,Purchases!A:A,0)),0))</f>
        <v>0</v>
      </c>
      <c r="M236" s="40" t="n">
        <f aca="false">IF(G236="",0,K236-L236)</f>
        <v>0</v>
      </c>
      <c r="N236" s="48" t="str">
        <f aca="false">IFERROR(IF(G236="","",M236/G236),"")</f>
        <v/>
      </c>
      <c r="O236" s="39"/>
      <c r="P236" s="39"/>
      <c r="Q236" s="39"/>
      <c r="R236" s="39"/>
      <c r="S236" s="48" t="n">
        <f aca="false">IFERROR(VLOOKUP(H236,Settings!B14:C25,2,FALSE()),0)</f>
        <v>0</v>
      </c>
    </row>
    <row r="237" customFormat="false" ht="15" hidden="false" customHeight="false" outlineLevel="0" collapsed="false">
      <c r="A237" s="41" t="str">
        <f aca="false">IF(B237="","",ROW()-3)</f>
        <v/>
      </c>
      <c r="B237" s="42"/>
      <c r="G237" s="44"/>
      <c r="I237" s="44" t="n">
        <f aca="false">IF(G237="",0,G237*S237)</f>
        <v>0</v>
      </c>
      <c r="J237" s="44"/>
      <c r="K237" s="44" t="n">
        <f aca="false">IF(G237="",0,G237-I237-IF(J237="",0,J237))</f>
        <v>0</v>
      </c>
      <c r="L237" s="44" t="n">
        <f aca="false">IF(O237="",0,IFERROR(INDEX(Purchases!I:I,MATCH(O237*1,Purchases!A:A,0)),0))</f>
        <v>0</v>
      </c>
      <c r="M237" s="44" t="n">
        <f aca="false">IF(G237="",0,K237-L237)</f>
        <v>0</v>
      </c>
      <c r="N237" s="49" t="str">
        <f aca="false">IFERROR(IF(G237="","",M237/G237),"")</f>
        <v/>
      </c>
      <c r="S237" s="49" t="n">
        <f aca="false">IFERROR(VLOOKUP(H237,Settings!B14:C25,2,FALSE()),0)</f>
        <v>0</v>
      </c>
    </row>
    <row r="238" customFormat="false" ht="15" hidden="false" customHeight="false" outlineLevel="0" collapsed="false">
      <c r="A238" s="37" t="str">
        <f aca="false">IF(B238="","",ROW()-3)</f>
        <v/>
      </c>
      <c r="B238" s="38"/>
      <c r="C238" s="39"/>
      <c r="D238" s="39"/>
      <c r="E238" s="39"/>
      <c r="F238" s="39"/>
      <c r="G238" s="40"/>
      <c r="H238" s="39"/>
      <c r="I238" s="40" t="n">
        <f aca="false">IF(G238="",0,G238*S238)</f>
        <v>0</v>
      </c>
      <c r="J238" s="40"/>
      <c r="K238" s="40" t="n">
        <f aca="false">IF(G238="",0,G238-I238-IF(J238="",0,J238))</f>
        <v>0</v>
      </c>
      <c r="L238" s="40" t="n">
        <f aca="false">IF(O238="",0,IFERROR(INDEX(Purchases!I:I,MATCH(O238*1,Purchases!A:A,0)),0))</f>
        <v>0</v>
      </c>
      <c r="M238" s="40" t="n">
        <f aca="false">IF(G238="",0,K238-L238)</f>
        <v>0</v>
      </c>
      <c r="N238" s="48" t="str">
        <f aca="false">IFERROR(IF(G238="","",M238/G238),"")</f>
        <v/>
      </c>
      <c r="O238" s="39"/>
      <c r="P238" s="39"/>
      <c r="Q238" s="39"/>
      <c r="R238" s="39"/>
      <c r="S238" s="48" t="n">
        <f aca="false">IFERROR(VLOOKUP(H238,Settings!B14:C25,2,FALSE()),0)</f>
        <v>0</v>
      </c>
    </row>
    <row r="239" customFormat="false" ht="15" hidden="false" customHeight="false" outlineLevel="0" collapsed="false">
      <c r="A239" s="41" t="str">
        <f aca="false">IF(B239="","",ROW()-3)</f>
        <v/>
      </c>
      <c r="B239" s="42"/>
      <c r="G239" s="44"/>
      <c r="I239" s="44" t="n">
        <f aca="false">IF(G239="",0,G239*S239)</f>
        <v>0</v>
      </c>
      <c r="J239" s="44"/>
      <c r="K239" s="44" t="n">
        <f aca="false">IF(G239="",0,G239-I239-IF(J239="",0,J239))</f>
        <v>0</v>
      </c>
      <c r="L239" s="44" t="n">
        <f aca="false">IF(O239="",0,IFERROR(INDEX(Purchases!I:I,MATCH(O239*1,Purchases!A:A,0)),0))</f>
        <v>0</v>
      </c>
      <c r="M239" s="44" t="n">
        <f aca="false">IF(G239="",0,K239-L239)</f>
        <v>0</v>
      </c>
      <c r="N239" s="49" t="str">
        <f aca="false">IFERROR(IF(G239="","",M239/G239),"")</f>
        <v/>
      </c>
      <c r="S239" s="49" t="n">
        <f aca="false">IFERROR(VLOOKUP(H239,Settings!B14:C25,2,FALSE()),0)</f>
        <v>0</v>
      </c>
    </row>
    <row r="240" customFormat="false" ht="15" hidden="false" customHeight="false" outlineLevel="0" collapsed="false">
      <c r="A240" s="37" t="str">
        <f aca="false">IF(B240="","",ROW()-3)</f>
        <v/>
      </c>
      <c r="B240" s="38"/>
      <c r="C240" s="39"/>
      <c r="D240" s="39"/>
      <c r="E240" s="39"/>
      <c r="F240" s="39"/>
      <c r="G240" s="40"/>
      <c r="H240" s="39"/>
      <c r="I240" s="40" t="n">
        <f aca="false">IF(G240="",0,G240*S240)</f>
        <v>0</v>
      </c>
      <c r="J240" s="40"/>
      <c r="K240" s="40" t="n">
        <f aca="false">IF(G240="",0,G240-I240-IF(J240="",0,J240))</f>
        <v>0</v>
      </c>
      <c r="L240" s="40" t="n">
        <f aca="false">IF(O240="",0,IFERROR(INDEX(Purchases!I:I,MATCH(O240*1,Purchases!A:A,0)),0))</f>
        <v>0</v>
      </c>
      <c r="M240" s="40" t="n">
        <f aca="false">IF(G240="",0,K240-L240)</f>
        <v>0</v>
      </c>
      <c r="N240" s="48" t="str">
        <f aca="false">IFERROR(IF(G240="","",M240/G240),"")</f>
        <v/>
      </c>
      <c r="O240" s="39"/>
      <c r="P240" s="39"/>
      <c r="Q240" s="39"/>
      <c r="R240" s="39"/>
      <c r="S240" s="48" t="n">
        <f aca="false">IFERROR(VLOOKUP(H240,Settings!B14:C25,2,FALSE()),0)</f>
        <v>0</v>
      </c>
    </row>
    <row r="241" customFormat="false" ht="15" hidden="false" customHeight="false" outlineLevel="0" collapsed="false">
      <c r="A241" s="41" t="str">
        <f aca="false">IF(B241="","",ROW()-3)</f>
        <v/>
      </c>
      <c r="B241" s="42"/>
      <c r="G241" s="44"/>
      <c r="I241" s="44" t="n">
        <f aca="false">IF(G241="",0,G241*S241)</f>
        <v>0</v>
      </c>
      <c r="J241" s="44"/>
      <c r="K241" s="44" t="n">
        <f aca="false">IF(G241="",0,G241-I241-IF(J241="",0,J241))</f>
        <v>0</v>
      </c>
      <c r="L241" s="44" t="n">
        <f aca="false">IF(O241="",0,IFERROR(INDEX(Purchases!I:I,MATCH(O241*1,Purchases!A:A,0)),0))</f>
        <v>0</v>
      </c>
      <c r="M241" s="44" t="n">
        <f aca="false">IF(G241="",0,K241-L241)</f>
        <v>0</v>
      </c>
      <c r="N241" s="49" t="str">
        <f aca="false">IFERROR(IF(G241="","",M241/G241),"")</f>
        <v/>
      </c>
      <c r="S241" s="49" t="n">
        <f aca="false">IFERROR(VLOOKUP(H241,Settings!B14:C25,2,FALSE()),0)</f>
        <v>0</v>
      </c>
    </row>
    <row r="242" customFormat="false" ht="15" hidden="false" customHeight="false" outlineLevel="0" collapsed="false">
      <c r="A242" s="37" t="str">
        <f aca="false">IF(B242="","",ROW()-3)</f>
        <v/>
      </c>
      <c r="B242" s="38"/>
      <c r="C242" s="39"/>
      <c r="D242" s="39"/>
      <c r="E242" s="39"/>
      <c r="F242" s="39"/>
      <c r="G242" s="40"/>
      <c r="H242" s="39"/>
      <c r="I242" s="40" t="n">
        <f aca="false">IF(G242="",0,G242*S242)</f>
        <v>0</v>
      </c>
      <c r="J242" s="40"/>
      <c r="K242" s="40" t="n">
        <f aca="false">IF(G242="",0,G242-I242-IF(J242="",0,J242))</f>
        <v>0</v>
      </c>
      <c r="L242" s="40" t="n">
        <f aca="false">IF(O242="",0,IFERROR(INDEX(Purchases!I:I,MATCH(O242*1,Purchases!A:A,0)),0))</f>
        <v>0</v>
      </c>
      <c r="M242" s="40" t="n">
        <f aca="false">IF(G242="",0,K242-L242)</f>
        <v>0</v>
      </c>
      <c r="N242" s="48" t="str">
        <f aca="false">IFERROR(IF(G242="","",M242/G242),"")</f>
        <v/>
      </c>
      <c r="O242" s="39"/>
      <c r="P242" s="39"/>
      <c r="Q242" s="39"/>
      <c r="R242" s="39"/>
      <c r="S242" s="48" t="n">
        <f aca="false">IFERROR(VLOOKUP(H242,Settings!B14:C25,2,FALSE()),0)</f>
        <v>0</v>
      </c>
    </row>
    <row r="243" customFormat="false" ht="15" hidden="false" customHeight="false" outlineLevel="0" collapsed="false">
      <c r="A243" s="41" t="str">
        <f aca="false">IF(B243="","",ROW()-3)</f>
        <v/>
      </c>
      <c r="B243" s="42"/>
      <c r="G243" s="44"/>
      <c r="I243" s="44" t="n">
        <f aca="false">IF(G243="",0,G243*S243)</f>
        <v>0</v>
      </c>
      <c r="J243" s="44"/>
      <c r="K243" s="44" t="n">
        <f aca="false">IF(G243="",0,G243-I243-IF(J243="",0,J243))</f>
        <v>0</v>
      </c>
      <c r="L243" s="44" t="n">
        <f aca="false">IF(O243="",0,IFERROR(INDEX(Purchases!I:I,MATCH(O243*1,Purchases!A:A,0)),0))</f>
        <v>0</v>
      </c>
      <c r="M243" s="44" t="n">
        <f aca="false">IF(G243="",0,K243-L243)</f>
        <v>0</v>
      </c>
      <c r="N243" s="49" t="str">
        <f aca="false">IFERROR(IF(G243="","",M243/G243),"")</f>
        <v/>
      </c>
      <c r="S243" s="49" t="n">
        <f aca="false">IFERROR(VLOOKUP(H243,Settings!B14:C25,2,FALSE()),0)</f>
        <v>0</v>
      </c>
    </row>
    <row r="244" customFormat="false" ht="15" hidden="false" customHeight="false" outlineLevel="0" collapsed="false">
      <c r="A244" s="37" t="str">
        <f aca="false">IF(B244="","",ROW()-3)</f>
        <v/>
      </c>
      <c r="B244" s="38"/>
      <c r="C244" s="39"/>
      <c r="D244" s="39"/>
      <c r="E244" s="39"/>
      <c r="F244" s="39"/>
      <c r="G244" s="40"/>
      <c r="H244" s="39"/>
      <c r="I244" s="40" t="n">
        <f aca="false">IF(G244="",0,G244*S244)</f>
        <v>0</v>
      </c>
      <c r="J244" s="40"/>
      <c r="K244" s="40" t="n">
        <f aca="false">IF(G244="",0,G244-I244-IF(J244="",0,J244))</f>
        <v>0</v>
      </c>
      <c r="L244" s="40" t="n">
        <f aca="false">IF(O244="",0,IFERROR(INDEX(Purchases!I:I,MATCH(O244*1,Purchases!A:A,0)),0))</f>
        <v>0</v>
      </c>
      <c r="M244" s="40" t="n">
        <f aca="false">IF(G244="",0,K244-L244)</f>
        <v>0</v>
      </c>
      <c r="N244" s="48" t="str">
        <f aca="false">IFERROR(IF(G244="","",M244/G244),"")</f>
        <v/>
      </c>
      <c r="O244" s="39"/>
      <c r="P244" s="39"/>
      <c r="Q244" s="39"/>
      <c r="R244" s="39"/>
      <c r="S244" s="48" t="n">
        <f aca="false">IFERROR(VLOOKUP(H244,Settings!B14:C25,2,FALSE()),0)</f>
        <v>0</v>
      </c>
    </row>
    <row r="245" customFormat="false" ht="15" hidden="false" customHeight="false" outlineLevel="0" collapsed="false">
      <c r="A245" s="41" t="str">
        <f aca="false">IF(B245="","",ROW()-3)</f>
        <v/>
      </c>
      <c r="B245" s="42"/>
      <c r="G245" s="44"/>
      <c r="I245" s="44" t="n">
        <f aca="false">IF(G245="",0,G245*S245)</f>
        <v>0</v>
      </c>
      <c r="J245" s="44"/>
      <c r="K245" s="44" t="n">
        <f aca="false">IF(G245="",0,G245-I245-IF(J245="",0,J245))</f>
        <v>0</v>
      </c>
      <c r="L245" s="44" t="n">
        <f aca="false">IF(O245="",0,IFERROR(INDEX(Purchases!I:I,MATCH(O245*1,Purchases!A:A,0)),0))</f>
        <v>0</v>
      </c>
      <c r="M245" s="44" t="n">
        <f aca="false">IF(G245="",0,K245-L245)</f>
        <v>0</v>
      </c>
      <c r="N245" s="49" t="str">
        <f aca="false">IFERROR(IF(G245="","",M245/G245),"")</f>
        <v/>
      </c>
      <c r="S245" s="49" t="n">
        <f aca="false">IFERROR(VLOOKUP(H245,Settings!B14:C25,2,FALSE()),0)</f>
        <v>0</v>
      </c>
    </row>
    <row r="246" customFormat="false" ht="15" hidden="false" customHeight="false" outlineLevel="0" collapsed="false">
      <c r="A246" s="37" t="str">
        <f aca="false">IF(B246="","",ROW()-3)</f>
        <v/>
      </c>
      <c r="B246" s="38"/>
      <c r="C246" s="39"/>
      <c r="D246" s="39"/>
      <c r="E246" s="39"/>
      <c r="F246" s="39"/>
      <c r="G246" s="40"/>
      <c r="H246" s="39"/>
      <c r="I246" s="40" t="n">
        <f aca="false">IF(G246="",0,G246*S246)</f>
        <v>0</v>
      </c>
      <c r="J246" s="40"/>
      <c r="K246" s="40" t="n">
        <f aca="false">IF(G246="",0,G246-I246-IF(J246="",0,J246))</f>
        <v>0</v>
      </c>
      <c r="L246" s="40" t="n">
        <f aca="false">IF(O246="",0,IFERROR(INDEX(Purchases!I:I,MATCH(O246*1,Purchases!A:A,0)),0))</f>
        <v>0</v>
      </c>
      <c r="M246" s="40" t="n">
        <f aca="false">IF(G246="",0,K246-L246)</f>
        <v>0</v>
      </c>
      <c r="N246" s="48" t="str">
        <f aca="false">IFERROR(IF(G246="","",M246/G246),"")</f>
        <v/>
      </c>
      <c r="O246" s="39"/>
      <c r="P246" s="39"/>
      <c r="Q246" s="39"/>
      <c r="R246" s="39"/>
      <c r="S246" s="48" t="n">
        <f aca="false">IFERROR(VLOOKUP(H246,Settings!B14:C25,2,FALSE()),0)</f>
        <v>0</v>
      </c>
    </row>
    <row r="247" customFormat="false" ht="15" hidden="false" customHeight="false" outlineLevel="0" collapsed="false">
      <c r="A247" s="41" t="str">
        <f aca="false">IF(B247="","",ROW()-3)</f>
        <v/>
      </c>
      <c r="B247" s="42"/>
      <c r="G247" s="44"/>
      <c r="I247" s="44" t="n">
        <f aca="false">IF(G247="",0,G247*S247)</f>
        <v>0</v>
      </c>
      <c r="J247" s="44"/>
      <c r="K247" s="44" t="n">
        <f aca="false">IF(G247="",0,G247-I247-IF(J247="",0,J247))</f>
        <v>0</v>
      </c>
      <c r="L247" s="44" t="n">
        <f aca="false">IF(O247="",0,IFERROR(INDEX(Purchases!I:I,MATCH(O247*1,Purchases!A:A,0)),0))</f>
        <v>0</v>
      </c>
      <c r="M247" s="44" t="n">
        <f aca="false">IF(G247="",0,K247-L247)</f>
        <v>0</v>
      </c>
      <c r="N247" s="49" t="str">
        <f aca="false">IFERROR(IF(G247="","",M247/G247),"")</f>
        <v/>
      </c>
      <c r="S247" s="49" t="n">
        <f aca="false">IFERROR(VLOOKUP(H247,Settings!B14:C25,2,FALSE()),0)</f>
        <v>0</v>
      </c>
    </row>
    <row r="248" customFormat="false" ht="15" hidden="false" customHeight="false" outlineLevel="0" collapsed="false">
      <c r="A248" s="37" t="str">
        <f aca="false">IF(B248="","",ROW()-3)</f>
        <v/>
      </c>
      <c r="B248" s="38"/>
      <c r="C248" s="39"/>
      <c r="D248" s="39"/>
      <c r="E248" s="39"/>
      <c r="F248" s="39"/>
      <c r="G248" s="40"/>
      <c r="H248" s="39"/>
      <c r="I248" s="40" t="n">
        <f aca="false">IF(G248="",0,G248*S248)</f>
        <v>0</v>
      </c>
      <c r="J248" s="40"/>
      <c r="K248" s="40" t="n">
        <f aca="false">IF(G248="",0,G248-I248-IF(J248="",0,J248))</f>
        <v>0</v>
      </c>
      <c r="L248" s="40" t="n">
        <f aca="false">IF(O248="",0,IFERROR(INDEX(Purchases!I:I,MATCH(O248*1,Purchases!A:A,0)),0))</f>
        <v>0</v>
      </c>
      <c r="M248" s="40" t="n">
        <f aca="false">IF(G248="",0,K248-L248)</f>
        <v>0</v>
      </c>
      <c r="N248" s="48" t="str">
        <f aca="false">IFERROR(IF(G248="","",M248/G248),"")</f>
        <v/>
      </c>
      <c r="O248" s="39"/>
      <c r="P248" s="39"/>
      <c r="Q248" s="39"/>
      <c r="R248" s="39"/>
      <c r="S248" s="48" t="n">
        <f aca="false">IFERROR(VLOOKUP(H248,Settings!B14:C25,2,FALSE()),0)</f>
        <v>0</v>
      </c>
    </row>
    <row r="249" customFormat="false" ht="15" hidden="false" customHeight="false" outlineLevel="0" collapsed="false">
      <c r="A249" s="41" t="str">
        <f aca="false">IF(B249="","",ROW()-3)</f>
        <v/>
      </c>
      <c r="B249" s="42"/>
      <c r="G249" s="44"/>
      <c r="I249" s="44" t="n">
        <f aca="false">IF(G249="",0,G249*S249)</f>
        <v>0</v>
      </c>
      <c r="J249" s="44"/>
      <c r="K249" s="44" t="n">
        <f aca="false">IF(G249="",0,G249-I249-IF(J249="",0,J249))</f>
        <v>0</v>
      </c>
      <c r="L249" s="44" t="n">
        <f aca="false">IF(O249="",0,IFERROR(INDEX(Purchases!I:I,MATCH(O249*1,Purchases!A:A,0)),0))</f>
        <v>0</v>
      </c>
      <c r="M249" s="44" t="n">
        <f aca="false">IF(G249="",0,K249-L249)</f>
        <v>0</v>
      </c>
      <c r="N249" s="49" t="str">
        <f aca="false">IFERROR(IF(G249="","",M249/G249),"")</f>
        <v/>
      </c>
      <c r="S249" s="49" t="n">
        <f aca="false">IFERROR(VLOOKUP(H249,Settings!B14:C25,2,FALSE()),0)</f>
        <v>0</v>
      </c>
    </row>
    <row r="250" customFormat="false" ht="15" hidden="false" customHeight="false" outlineLevel="0" collapsed="false">
      <c r="A250" s="37" t="str">
        <f aca="false">IF(B250="","",ROW()-3)</f>
        <v/>
      </c>
      <c r="B250" s="38"/>
      <c r="C250" s="39"/>
      <c r="D250" s="39"/>
      <c r="E250" s="39"/>
      <c r="F250" s="39"/>
      <c r="G250" s="40"/>
      <c r="H250" s="39"/>
      <c r="I250" s="40" t="n">
        <f aca="false">IF(G250="",0,G250*S250)</f>
        <v>0</v>
      </c>
      <c r="J250" s="40"/>
      <c r="K250" s="40" t="n">
        <f aca="false">IF(G250="",0,G250-I250-IF(J250="",0,J250))</f>
        <v>0</v>
      </c>
      <c r="L250" s="40" t="n">
        <f aca="false">IF(O250="",0,IFERROR(INDEX(Purchases!I:I,MATCH(O250*1,Purchases!A:A,0)),0))</f>
        <v>0</v>
      </c>
      <c r="M250" s="40" t="n">
        <f aca="false">IF(G250="",0,K250-L250)</f>
        <v>0</v>
      </c>
      <c r="N250" s="48" t="str">
        <f aca="false">IFERROR(IF(G250="","",M250/G250),"")</f>
        <v/>
      </c>
      <c r="O250" s="39"/>
      <c r="P250" s="39"/>
      <c r="Q250" s="39"/>
      <c r="R250" s="39"/>
      <c r="S250" s="48" t="n">
        <f aca="false">IFERROR(VLOOKUP(H250,Settings!B14:C25,2,FALSE()),0)</f>
        <v>0</v>
      </c>
    </row>
    <row r="251" customFormat="false" ht="15" hidden="false" customHeight="false" outlineLevel="0" collapsed="false">
      <c r="A251" s="41" t="str">
        <f aca="false">IF(B251="","",ROW()-3)</f>
        <v/>
      </c>
      <c r="B251" s="42"/>
      <c r="G251" s="44"/>
      <c r="I251" s="44" t="n">
        <f aca="false">IF(G251="",0,G251*S251)</f>
        <v>0</v>
      </c>
      <c r="J251" s="44"/>
      <c r="K251" s="44" t="n">
        <f aca="false">IF(G251="",0,G251-I251-IF(J251="",0,J251))</f>
        <v>0</v>
      </c>
      <c r="L251" s="44" t="n">
        <f aca="false">IF(O251="",0,IFERROR(INDEX(Purchases!I:I,MATCH(O251*1,Purchases!A:A,0)),0))</f>
        <v>0</v>
      </c>
      <c r="M251" s="44" t="n">
        <f aca="false">IF(G251="",0,K251-L251)</f>
        <v>0</v>
      </c>
      <c r="N251" s="49" t="str">
        <f aca="false">IFERROR(IF(G251="","",M251/G251),"")</f>
        <v/>
      </c>
      <c r="S251" s="49" t="n">
        <f aca="false">IFERROR(VLOOKUP(H251,Settings!B14:C25,2,FALSE()),0)</f>
        <v>0</v>
      </c>
    </row>
    <row r="252" customFormat="false" ht="15" hidden="false" customHeight="false" outlineLevel="0" collapsed="false">
      <c r="A252" s="37" t="str">
        <f aca="false">IF(B252="","",ROW()-3)</f>
        <v/>
      </c>
      <c r="B252" s="38"/>
      <c r="C252" s="39"/>
      <c r="D252" s="39"/>
      <c r="E252" s="39"/>
      <c r="F252" s="39"/>
      <c r="G252" s="40"/>
      <c r="H252" s="39"/>
      <c r="I252" s="40" t="n">
        <f aca="false">IF(G252="",0,G252*S252)</f>
        <v>0</v>
      </c>
      <c r="J252" s="40"/>
      <c r="K252" s="40" t="n">
        <f aca="false">IF(G252="",0,G252-I252-IF(J252="",0,J252))</f>
        <v>0</v>
      </c>
      <c r="L252" s="40" t="n">
        <f aca="false">IF(O252="",0,IFERROR(INDEX(Purchases!I:I,MATCH(O252*1,Purchases!A:A,0)),0))</f>
        <v>0</v>
      </c>
      <c r="M252" s="40" t="n">
        <f aca="false">IF(G252="",0,K252-L252)</f>
        <v>0</v>
      </c>
      <c r="N252" s="48" t="str">
        <f aca="false">IFERROR(IF(G252="","",M252/G252),"")</f>
        <v/>
      </c>
      <c r="O252" s="39"/>
      <c r="P252" s="39"/>
      <c r="Q252" s="39"/>
      <c r="R252" s="39"/>
      <c r="S252" s="48" t="n">
        <f aca="false">IFERROR(VLOOKUP(H252,Settings!B14:C25,2,FALSE()),0)</f>
        <v>0</v>
      </c>
    </row>
    <row r="253" customFormat="false" ht="15" hidden="false" customHeight="false" outlineLevel="0" collapsed="false">
      <c r="A253" s="41" t="str">
        <f aca="false">IF(B253="","",ROW()-3)</f>
        <v/>
      </c>
      <c r="B253" s="42"/>
      <c r="G253" s="44"/>
      <c r="I253" s="44" t="n">
        <f aca="false">IF(G253="",0,G253*S253)</f>
        <v>0</v>
      </c>
      <c r="J253" s="44"/>
      <c r="K253" s="44" t="n">
        <f aca="false">IF(G253="",0,G253-I253-IF(J253="",0,J253))</f>
        <v>0</v>
      </c>
      <c r="L253" s="44" t="n">
        <f aca="false">IF(O253="",0,IFERROR(INDEX(Purchases!I:I,MATCH(O253*1,Purchases!A:A,0)),0))</f>
        <v>0</v>
      </c>
      <c r="M253" s="44" t="n">
        <f aca="false">IF(G253="",0,K253-L253)</f>
        <v>0</v>
      </c>
      <c r="N253" s="49" t="str">
        <f aca="false">IFERROR(IF(G253="","",M253/G253),"")</f>
        <v/>
      </c>
      <c r="S253" s="49" t="n">
        <f aca="false">IFERROR(VLOOKUP(H253,Settings!B14:C25,2,FALSE()),0)</f>
        <v>0</v>
      </c>
    </row>
    <row r="254" customFormat="false" ht="15" hidden="false" customHeight="false" outlineLevel="0" collapsed="false">
      <c r="A254" s="37" t="str">
        <f aca="false">IF(B254="","",ROW()-3)</f>
        <v/>
      </c>
      <c r="B254" s="38"/>
      <c r="C254" s="39"/>
      <c r="D254" s="39"/>
      <c r="E254" s="39"/>
      <c r="F254" s="39"/>
      <c r="G254" s="40"/>
      <c r="H254" s="39"/>
      <c r="I254" s="40" t="n">
        <f aca="false">IF(G254="",0,G254*S254)</f>
        <v>0</v>
      </c>
      <c r="J254" s="40"/>
      <c r="K254" s="40" t="n">
        <f aca="false">IF(G254="",0,G254-I254-IF(J254="",0,J254))</f>
        <v>0</v>
      </c>
      <c r="L254" s="40" t="n">
        <f aca="false">IF(O254="",0,IFERROR(INDEX(Purchases!I:I,MATCH(O254*1,Purchases!A:A,0)),0))</f>
        <v>0</v>
      </c>
      <c r="M254" s="40" t="n">
        <f aca="false">IF(G254="",0,K254-L254)</f>
        <v>0</v>
      </c>
      <c r="N254" s="48" t="str">
        <f aca="false">IFERROR(IF(G254="","",M254/G254),"")</f>
        <v/>
      </c>
      <c r="O254" s="39"/>
      <c r="P254" s="39"/>
      <c r="Q254" s="39"/>
      <c r="R254" s="39"/>
      <c r="S254" s="48" t="n">
        <f aca="false">IFERROR(VLOOKUP(H254,Settings!B14:C25,2,FALSE()),0)</f>
        <v>0</v>
      </c>
    </row>
    <row r="255" customFormat="false" ht="15" hidden="false" customHeight="false" outlineLevel="0" collapsed="false">
      <c r="A255" s="41" t="str">
        <f aca="false">IF(B255="","",ROW()-3)</f>
        <v/>
      </c>
      <c r="B255" s="42"/>
      <c r="G255" s="44"/>
      <c r="I255" s="44" t="n">
        <f aca="false">IF(G255="",0,G255*S255)</f>
        <v>0</v>
      </c>
      <c r="J255" s="44"/>
      <c r="K255" s="44" t="n">
        <f aca="false">IF(G255="",0,G255-I255-IF(J255="",0,J255))</f>
        <v>0</v>
      </c>
      <c r="L255" s="44" t="n">
        <f aca="false">IF(O255="",0,IFERROR(INDEX(Purchases!I:I,MATCH(O255*1,Purchases!A:A,0)),0))</f>
        <v>0</v>
      </c>
      <c r="M255" s="44" t="n">
        <f aca="false">IF(G255="",0,K255-L255)</f>
        <v>0</v>
      </c>
      <c r="N255" s="49" t="str">
        <f aca="false">IFERROR(IF(G255="","",M255/G255),"")</f>
        <v/>
      </c>
      <c r="S255" s="49" t="n">
        <f aca="false">IFERROR(VLOOKUP(H255,Settings!B14:C25,2,FALSE()),0)</f>
        <v>0</v>
      </c>
    </row>
    <row r="256" customFormat="false" ht="15" hidden="false" customHeight="false" outlineLevel="0" collapsed="false">
      <c r="A256" s="37" t="str">
        <f aca="false">IF(B256="","",ROW()-3)</f>
        <v/>
      </c>
      <c r="B256" s="38"/>
      <c r="C256" s="39"/>
      <c r="D256" s="39"/>
      <c r="E256" s="39"/>
      <c r="F256" s="39"/>
      <c r="G256" s="40"/>
      <c r="H256" s="39"/>
      <c r="I256" s="40" t="n">
        <f aca="false">IF(G256="",0,G256*S256)</f>
        <v>0</v>
      </c>
      <c r="J256" s="40"/>
      <c r="K256" s="40" t="n">
        <f aca="false">IF(G256="",0,G256-I256-IF(J256="",0,J256))</f>
        <v>0</v>
      </c>
      <c r="L256" s="40" t="n">
        <f aca="false">IF(O256="",0,IFERROR(INDEX(Purchases!I:I,MATCH(O256*1,Purchases!A:A,0)),0))</f>
        <v>0</v>
      </c>
      <c r="M256" s="40" t="n">
        <f aca="false">IF(G256="",0,K256-L256)</f>
        <v>0</v>
      </c>
      <c r="N256" s="48" t="str">
        <f aca="false">IFERROR(IF(G256="","",M256/G256),"")</f>
        <v/>
      </c>
      <c r="O256" s="39"/>
      <c r="P256" s="39"/>
      <c r="Q256" s="39"/>
      <c r="R256" s="39"/>
      <c r="S256" s="48" t="n">
        <f aca="false">IFERROR(VLOOKUP(H256,Settings!B14:C25,2,FALSE()),0)</f>
        <v>0</v>
      </c>
    </row>
    <row r="257" customFormat="false" ht="15" hidden="false" customHeight="false" outlineLevel="0" collapsed="false">
      <c r="A257" s="41" t="str">
        <f aca="false">IF(B257="","",ROW()-3)</f>
        <v/>
      </c>
      <c r="B257" s="42"/>
      <c r="G257" s="44"/>
      <c r="I257" s="44" t="n">
        <f aca="false">IF(G257="",0,G257*S257)</f>
        <v>0</v>
      </c>
      <c r="J257" s="44"/>
      <c r="K257" s="44" t="n">
        <f aca="false">IF(G257="",0,G257-I257-IF(J257="",0,J257))</f>
        <v>0</v>
      </c>
      <c r="L257" s="44" t="n">
        <f aca="false">IF(O257="",0,IFERROR(INDEX(Purchases!I:I,MATCH(O257*1,Purchases!A:A,0)),0))</f>
        <v>0</v>
      </c>
      <c r="M257" s="44" t="n">
        <f aca="false">IF(G257="",0,K257-L257)</f>
        <v>0</v>
      </c>
      <c r="N257" s="49" t="str">
        <f aca="false">IFERROR(IF(G257="","",M257/G257),"")</f>
        <v/>
      </c>
      <c r="S257" s="49" t="n">
        <f aca="false">IFERROR(VLOOKUP(H257,Settings!B14:C25,2,FALSE()),0)</f>
        <v>0</v>
      </c>
    </row>
    <row r="258" customFormat="false" ht="15" hidden="false" customHeight="false" outlineLevel="0" collapsed="false">
      <c r="A258" s="37" t="str">
        <f aca="false">IF(B258="","",ROW()-3)</f>
        <v/>
      </c>
      <c r="B258" s="38"/>
      <c r="C258" s="39"/>
      <c r="D258" s="39"/>
      <c r="E258" s="39"/>
      <c r="F258" s="39"/>
      <c r="G258" s="40"/>
      <c r="H258" s="39"/>
      <c r="I258" s="40" t="n">
        <f aca="false">IF(G258="",0,G258*S258)</f>
        <v>0</v>
      </c>
      <c r="J258" s="40"/>
      <c r="K258" s="40" t="n">
        <f aca="false">IF(G258="",0,G258-I258-IF(J258="",0,J258))</f>
        <v>0</v>
      </c>
      <c r="L258" s="40" t="n">
        <f aca="false">IF(O258="",0,IFERROR(INDEX(Purchases!I:I,MATCH(O258*1,Purchases!A:A,0)),0))</f>
        <v>0</v>
      </c>
      <c r="M258" s="40" t="n">
        <f aca="false">IF(G258="",0,K258-L258)</f>
        <v>0</v>
      </c>
      <c r="N258" s="48" t="str">
        <f aca="false">IFERROR(IF(G258="","",M258/G258),"")</f>
        <v/>
      </c>
      <c r="O258" s="39"/>
      <c r="P258" s="39"/>
      <c r="Q258" s="39"/>
      <c r="R258" s="39"/>
      <c r="S258" s="48" t="n">
        <f aca="false">IFERROR(VLOOKUP(H258,Settings!B14:C25,2,FALSE()),0)</f>
        <v>0</v>
      </c>
    </row>
    <row r="259" customFormat="false" ht="15" hidden="false" customHeight="false" outlineLevel="0" collapsed="false">
      <c r="A259" s="41" t="str">
        <f aca="false">IF(B259="","",ROW()-3)</f>
        <v/>
      </c>
      <c r="B259" s="42"/>
      <c r="G259" s="44"/>
      <c r="I259" s="44" t="n">
        <f aca="false">IF(G259="",0,G259*S259)</f>
        <v>0</v>
      </c>
      <c r="J259" s="44"/>
      <c r="K259" s="44" t="n">
        <f aca="false">IF(G259="",0,G259-I259-IF(J259="",0,J259))</f>
        <v>0</v>
      </c>
      <c r="L259" s="44" t="n">
        <f aca="false">IF(O259="",0,IFERROR(INDEX(Purchases!I:I,MATCH(O259*1,Purchases!A:A,0)),0))</f>
        <v>0</v>
      </c>
      <c r="M259" s="44" t="n">
        <f aca="false">IF(G259="",0,K259-L259)</f>
        <v>0</v>
      </c>
      <c r="N259" s="49" t="str">
        <f aca="false">IFERROR(IF(G259="","",M259/G259),"")</f>
        <v/>
      </c>
      <c r="S259" s="49" t="n">
        <f aca="false">IFERROR(VLOOKUP(H259,Settings!B14:C25,2,FALSE()),0)</f>
        <v>0</v>
      </c>
    </row>
    <row r="260" customFormat="false" ht="15" hidden="false" customHeight="false" outlineLevel="0" collapsed="false">
      <c r="A260" s="37" t="str">
        <f aca="false">IF(B260="","",ROW()-3)</f>
        <v/>
      </c>
      <c r="B260" s="38"/>
      <c r="C260" s="39"/>
      <c r="D260" s="39"/>
      <c r="E260" s="39"/>
      <c r="F260" s="39"/>
      <c r="G260" s="40"/>
      <c r="H260" s="39"/>
      <c r="I260" s="40" t="n">
        <f aca="false">IF(G260="",0,G260*S260)</f>
        <v>0</v>
      </c>
      <c r="J260" s="40"/>
      <c r="K260" s="40" t="n">
        <f aca="false">IF(G260="",0,G260-I260-IF(J260="",0,J260))</f>
        <v>0</v>
      </c>
      <c r="L260" s="40" t="n">
        <f aca="false">IF(O260="",0,IFERROR(INDEX(Purchases!I:I,MATCH(O260*1,Purchases!A:A,0)),0))</f>
        <v>0</v>
      </c>
      <c r="M260" s="40" t="n">
        <f aca="false">IF(G260="",0,K260-L260)</f>
        <v>0</v>
      </c>
      <c r="N260" s="48" t="str">
        <f aca="false">IFERROR(IF(G260="","",M260/G260),"")</f>
        <v/>
      </c>
      <c r="O260" s="39"/>
      <c r="P260" s="39"/>
      <c r="Q260" s="39"/>
      <c r="R260" s="39"/>
      <c r="S260" s="48" t="n">
        <f aca="false">IFERROR(VLOOKUP(H260,Settings!B14:C25,2,FALSE()),0)</f>
        <v>0</v>
      </c>
    </row>
    <row r="261" customFormat="false" ht="15" hidden="false" customHeight="false" outlineLevel="0" collapsed="false">
      <c r="A261" s="41" t="str">
        <f aca="false">IF(B261="","",ROW()-3)</f>
        <v/>
      </c>
      <c r="B261" s="42"/>
      <c r="G261" s="44"/>
      <c r="I261" s="44" t="n">
        <f aca="false">IF(G261="",0,G261*S261)</f>
        <v>0</v>
      </c>
      <c r="J261" s="44"/>
      <c r="K261" s="44" t="n">
        <f aca="false">IF(G261="",0,G261-I261-IF(J261="",0,J261))</f>
        <v>0</v>
      </c>
      <c r="L261" s="44" t="n">
        <f aca="false">IF(O261="",0,IFERROR(INDEX(Purchases!I:I,MATCH(O261*1,Purchases!A:A,0)),0))</f>
        <v>0</v>
      </c>
      <c r="M261" s="44" t="n">
        <f aca="false">IF(G261="",0,K261-L261)</f>
        <v>0</v>
      </c>
      <c r="N261" s="49" t="str">
        <f aca="false">IFERROR(IF(G261="","",M261/G261),"")</f>
        <v/>
      </c>
      <c r="S261" s="49" t="n">
        <f aca="false">IFERROR(VLOOKUP(H261,Settings!B14:C25,2,FALSE()),0)</f>
        <v>0</v>
      </c>
    </row>
    <row r="262" customFormat="false" ht="15" hidden="false" customHeight="false" outlineLevel="0" collapsed="false">
      <c r="A262" s="37" t="str">
        <f aca="false">IF(B262="","",ROW()-3)</f>
        <v/>
      </c>
      <c r="B262" s="38"/>
      <c r="C262" s="39"/>
      <c r="D262" s="39"/>
      <c r="E262" s="39"/>
      <c r="F262" s="39"/>
      <c r="G262" s="40"/>
      <c r="H262" s="39"/>
      <c r="I262" s="40" t="n">
        <f aca="false">IF(G262="",0,G262*S262)</f>
        <v>0</v>
      </c>
      <c r="J262" s="40"/>
      <c r="K262" s="40" t="n">
        <f aca="false">IF(G262="",0,G262-I262-IF(J262="",0,J262))</f>
        <v>0</v>
      </c>
      <c r="L262" s="40" t="n">
        <f aca="false">IF(O262="",0,IFERROR(INDEX(Purchases!I:I,MATCH(O262*1,Purchases!A:A,0)),0))</f>
        <v>0</v>
      </c>
      <c r="M262" s="40" t="n">
        <f aca="false">IF(G262="",0,K262-L262)</f>
        <v>0</v>
      </c>
      <c r="N262" s="48" t="str">
        <f aca="false">IFERROR(IF(G262="","",M262/G262),"")</f>
        <v/>
      </c>
      <c r="O262" s="39"/>
      <c r="P262" s="39"/>
      <c r="Q262" s="39"/>
      <c r="R262" s="39"/>
      <c r="S262" s="48" t="n">
        <f aca="false">IFERROR(VLOOKUP(H262,Settings!B14:C25,2,FALSE()),0)</f>
        <v>0</v>
      </c>
    </row>
    <row r="263" customFormat="false" ht="15" hidden="false" customHeight="false" outlineLevel="0" collapsed="false">
      <c r="A263" s="41" t="str">
        <f aca="false">IF(B263="","",ROW()-3)</f>
        <v/>
      </c>
      <c r="B263" s="42"/>
      <c r="G263" s="44"/>
      <c r="I263" s="44" t="n">
        <f aca="false">IF(G263="",0,G263*S263)</f>
        <v>0</v>
      </c>
      <c r="J263" s="44"/>
      <c r="K263" s="44" t="n">
        <f aca="false">IF(G263="",0,G263-I263-IF(J263="",0,J263))</f>
        <v>0</v>
      </c>
      <c r="L263" s="44" t="n">
        <f aca="false">IF(O263="",0,IFERROR(INDEX(Purchases!I:I,MATCH(O263*1,Purchases!A:A,0)),0))</f>
        <v>0</v>
      </c>
      <c r="M263" s="44" t="n">
        <f aca="false">IF(G263="",0,K263-L263)</f>
        <v>0</v>
      </c>
      <c r="N263" s="49" t="str">
        <f aca="false">IFERROR(IF(G263="","",M263/G263),"")</f>
        <v/>
      </c>
      <c r="S263" s="49" t="n">
        <f aca="false">IFERROR(VLOOKUP(H263,Settings!B14:C25,2,FALSE()),0)</f>
        <v>0</v>
      </c>
    </row>
    <row r="264" customFormat="false" ht="15" hidden="false" customHeight="false" outlineLevel="0" collapsed="false">
      <c r="A264" s="37" t="str">
        <f aca="false">IF(B264="","",ROW()-3)</f>
        <v/>
      </c>
      <c r="B264" s="38"/>
      <c r="C264" s="39"/>
      <c r="D264" s="39"/>
      <c r="E264" s="39"/>
      <c r="F264" s="39"/>
      <c r="G264" s="40"/>
      <c r="H264" s="39"/>
      <c r="I264" s="40" t="n">
        <f aca="false">IF(G264="",0,G264*S264)</f>
        <v>0</v>
      </c>
      <c r="J264" s="40"/>
      <c r="K264" s="40" t="n">
        <f aca="false">IF(G264="",0,G264-I264-IF(J264="",0,J264))</f>
        <v>0</v>
      </c>
      <c r="L264" s="40" t="n">
        <f aca="false">IF(O264="",0,IFERROR(INDEX(Purchases!I:I,MATCH(O264*1,Purchases!A:A,0)),0))</f>
        <v>0</v>
      </c>
      <c r="M264" s="40" t="n">
        <f aca="false">IF(G264="",0,K264-L264)</f>
        <v>0</v>
      </c>
      <c r="N264" s="48" t="str">
        <f aca="false">IFERROR(IF(G264="","",M264/G264),"")</f>
        <v/>
      </c>
      <c r="O264" s="39"/>
      <c r="P264" s="39"/>
      <c r="Q264" s="39"/>
      <c r="R264" s="39"/>
      <c r="S264" s="48" t="n">
        <f aca="false">IFERROR(VLOOKUP(H264,Settings!B14:C25,2,FALSE()),0)</f>
        <v>0</v>
      </c>
    </row>
    <row r="265" customFormat="false" ht="15" hidden="false" customHeight="false" outlineLevel="0" collapsed="false">
      <c r="A265" s="41" t="str">
        <f aca="false">IF(B265="","",ROW()-3)</f>
        <v/>
      </c>
      <c r="B265" s="42"/>
      <c r="G265" s="44"/>
      <c r="I265" s="44" t="n">
        <f aca="false">IF(G265="",0,G265*S265)</f>
        <v>0</v>
      </c>
      <c r="J265" s="44"/>
      <c r="K265" s="44" t="n">
        <f aca="false">IF(G265="",0,G265-I265-IF(J265="",0,J265))</f>
        <v>0</v>
      </c>
      <c r="L265" s="44" t="n">
        <f aca="false">IF(O265="",0,IFERROR(INDEX(Purchases!I:I,MATCH(O265*1,Purchases!A:A,0)),0))</f>
        <v>0</v>
      </c>
      <c r="M265" s="44" t="n">
        <f aca="false">IF(G265="",0,K265-L265)</f>
        <v>0</v>
      </c>
      <c r="N265" s="49" t="str">
        <f aca="false">IFERROR(IF(G265="","",M265/G265),"")</f>
        <v/>
      </c>
      <c r="S265" s="49" t="n">
        <f aca="false">IFERROR(VLOOKUP(H265,Settings!B14:C25,2,FALSE()),0)</f>
        <v>0</v>
      </c>
    </row>
    <row r="266" customFormat="false" ht="15" hidden="false" customHeight="false" outlineLevel="0" collapsed="false">
      <c r="A266" s="37" t="str">
        <f aca="false">IF(B266="","",ROW()-3)</f>
        <v/>
      </c>
      <c r="B266" s="38"/>
      <c r="C266" s="39"/>
      <c r="D266" s="39"/>
      <c r="E266" s="39"/>
      <c r="F266" s="39"/>
      <c r="G266" s="40"/>
      <c r="H266" s="39"/>
      <c r="I266" s="40" t="n">
        <f aca="false">IF(G266="",0,G266*S266)</f>
        <v>0</v>
      </c>
      <c r="J266" s="40"/>
      <c r="K266" s="40" t="n">
        <f aca="false">IF(G266="",0,G266-I266-IF(J266="",0,J266))</f>
        <v>0</v>
      </c>
      <c r="L266" s="40" t="n">
        <f aca="false">IF(O266="",0,IFERROR(INDEX(Purchases!I:I,MATCH(O266*1,Purchases!A:A,0)),0))</f>
        <v>0</v>
      </c>
      <c r="M266" s="40" t="n">
        <f aca="false">IF(G266="",0,K266-L266)</f>
        <v>0</v>
      </c>
      <c r="N266" s="48" t="str">
        <f aca="false">IFERROR(IF(G266="","",M266/G266),"")</f>
        <v/>
      </c>
      <c r="O266" s="39"/>
      <c r="P266" s="39"/>
      <c r="Q266" s="39"/>
      <c r="R266" s="39"/>
      <c r="S266" s="48" t="n">
        <f aca="false">IFERROR(VLOOKUP(H266,Settings!B14:C25,2,FALSE()),0)</f>
        <v>0</v>
      </c>
    </row>
    <row r="267" customFormat="false" ht="15" hidden="false" customHeight="false" outlineLevel="0" collapsed="false">
      <c r="A267" s="41" t="str">
        <f aca="false">IF(B267="","",ROW()-3)</f>
        <v/>
      </c>
      <c r="B267" s="42"/>
      <c r="G267" s="44"/>
      <c r="I267" s="44" t="n">
        <f aca="false">IF(G267="",0,G267*S267)</f>
        <v>0</v>
      </c>
      <c r="J267" s="44"/>
      <c r="K267" s="44" t="n">
        <f aca="false">IF(G267="",0,G267-I267-IF(J267="",0,J267))</f>
        <v>0</v>
      </c>
      <c r="L267" s="44" t="n">
        <f aca="false">IF(O267="",0,IFERROR(INDEX(Purchases!I:I,MATCH(O267*1,Purchases!A:A,0)),0))</f>
        <v>0</v>
      </c>
      <c r="M267" s="44" t="n">
        <f aca="false">IF(G267="",0,K267-L267)</f>
        <v>0</v>
      </c>
      <c r="N267" s="49" t="str">
        <f aca="false">IFERROR(IF(G267="","",M267/G267),"")</f>
        <v/>
      </c>
      <c r="S267" s="49" t="n">
        <f aca="false">IFERROR(VLOOKUP(H267,Settings!B14:C25,2,FALSE()),0)</f>
        <v>0</v>
      </c>
    </row>
    <row r="268" customFormat="false" ht="15" hidden="false" customHeight="false" outlineLevel="0" collapsed="false">
      <c r="A268" s="37" t="str">
        <f aca="false">IF(B268="","",ROW()-3)</f>
        <v/>
      </c>
      <c r="B268" s="38"/>
      <c r="C268" s="39"/>
      <c r="D268" s="39"/>
      <c r="E268" s="39"/>
      <c r="F268" s="39"/>
      <c r="G268" s="40"/>
      <c r="H268" s="39"/>
      <c r="I268" s="40" t="n">
        <f aca="false">IF(G268="",0,G268*S268)</f>
        <v>0</v>
      </c>
      <c r="J268" s="40"/>
      <c r="K268" s="40" t="n">
        <f aca="false">IF(G268="",0,G268-I268-IF(J268="",0,J268))</f>
        <v>0</v>
      </c>
      <c r="L268" s="40" t="n">
        <f aca="false">IF(O268="",0,IFERROR(INDEX(Purchases!I:I,MATCH(O268*1,Purchases!A:A,0)),0))</f>
        <v>0</v>
      </c>
      <c r="M268" s="40" t="n">
        <f aca="false">IF(G268="",0,K268-L268)</f>
        <v>0</v>
      </c>
      <c r="N268" s="48" t="str">
        <f aca="false">IFERROR(IF(G268="","",M268/G268),"")</f>
        <v/>
      </c>
      <c r="O268" s="39"/>
      <c r="P268" s="39"/>
      <c r="Q268" s="39"/>
      <c r="R268" s="39"/>
      <c r="S268" s="48" t="n">
        <f aca="false">IFERROR(VLOOKUP(H268,Settings!B14:C25,2,FALSE()),0)</f>
        <v>0</v>
      </c>
    </row>
    <row r="269" customFormat="false" ht="15" hidden="false" customHeight="false" outlineLevel="0" collapsed="false">
      <c r="A269" s="41" t="str">
        <f aca="false">IF(B269="","",ROW()-3)</f>
        <v/>
      </c>
      <c r="B269" s="42"/>
      <c r="G269" s="44"/>
      <c r="I269" s="44" t="n">
        <f aca="false">IF(G269="",0,G269*S269)</f>
        <v>0</v>
      </c>
      <c r="J269" s="44"/>
      <c r="K269" s="44" t="n">
        <f aca="false">IF(G269="",0,G269-I269-IF(J269="",0,J269))</f>
        <v>0</v>
      </c>
      <c r="L269" s="44" t="n">
        <f aca="false">IF(O269="",0,IFERROR(INDEX(Purchases!I:I,MATCH(O269*1,Purchases!A:A,0)),0))</f>
        <v>0</v>
      </c>
      <c r="M269" s="44" t="n">
        <f aca="false">IF(G269="",0,K269-L269)</f>
        <v>0</v>
      </c>
      <c r="N269" s="49" t="str">
        <f aca="false">IFERROR(IF(G269="","",M269/G269),"")</f>
        <v/>
      </c>
      <c r="S269" s="49" t="n">
        <f aca="false">IFERROR(VLOOKUP(H269,Settings!B14:C25,2,FALSE()),0)</f>
        <v>0</v>
      </c>
    </row>
    <row r="270" customFormat="false" ht="15" hidden="false" customHeight="false" outlineLevel="0" collapsed="false">
      <c r="A270" s="37" t="str">
        <f aca="false">IF(B270="","",ROW()-3)</f>
        <v/>
      </c>
      <c r="B270" s="38"/>
      <c r="C270" s="39"/>
      <c r="D270" s="39"/>
      <c r="E270" s="39"/>
      <c r="F270" s="39"/>
      <c r="G270" s="40"/>
      <c r="H270" s="39"/>
      <c r="I270" s="40" t="n">
        <f aca="false">IF(G270="",0,G270*S270)</f>
        <v>0</v>
      </c>
      <c r="J270" s="40"/>
      <c r="K270" s="40" t="n">
        <f aca="false">IF(G270="",0,G270-I270-IF(J270="",0,J270))</f>
        <v>0</v>
      </c>
      <c r="L270" s="40" t="n">
        <f aca="false">IF(O270="",0,IFERROR(INDEX(Purchases!I:I,MATCH(O270*1,Purchases!A:A,0)),0))</f>
        <v>0</v>
      </c>
      <c r="M270" s="40" t="n">
        <f aca="false">IF(G270="",0,K270-L270)</f>
        <v>0</v>
      </c>
      <c r="N270" s="48" t="str">
        <f aca="false">IFERROR(IF(G270="","",M270/G270),"")</f>
        <v/>
      </c>
      <c r="O270" s="39"/>
      <c r="P270" s="39"/>
      <c r="Q270" s="39"/>
      <c r="R270" s="39"/>
      <c r="S270" s="48" t="n">
        <f aca="false">IFERROR(VLOOKUP(H270,Settings!B14:C25,2,FALSE()),0)</f>
        <v>0</v>
      </c>
    </row>
    <row r="271" customFormat="false" ht="15" hidden="false" customHeight="false" outlineLevel="0" collapsed="false">
      <c r="A271" s="41" t="str">
        <f aca="false">IF(B271="","",ROW()-3)</f>
        <v/>
      </c>
      <c r="B271" s="42"/>
      <c r="G271" s="44"/>
      <c r="I271" s="44" t="n">
        <f aca="false">IF(G271="",0,G271*S271)</f>
        <v>0</v>
      </c>
      <c r="J271" s="44"/>
      <c r="K271" s="44" t="n">
        <f aca="false">IF(G271="",0,G271-I271-IF(J271="",0,J271))</f>
        <v>0</v>
      </c>
      <c r="L271" s="44" t="n">
        <f aca="false">IF(O271="",0,IFERROR(INDEX(Purchases!I:I,MATCH(O271*1,Purchases!A:A,0)),0))</f>
        <v>0</v>
      </c>
      <c r="M271" s="44" t="n">
        <f aca="false">IF(G271="",0,K271-L271)</f>
        <v>0</v>
      </c>
      <c r="N271" s="49" t="str">
        <f aca="false">IFERROR(IF(G271="","",M271/G271),"")</f>
        <v/>
      </c>
      <c r="S271" s="49" t="n">
        <f aca="false">IFERROR(VLOOKUP(H271,Settings!B14:C25,2,FALSE()),0)</f>
        <v>0</v>
      </c>
    </row>
    <row r="272" customFormat="false" ht="15" hidden="false" customHeight="false" outlineLevel="0" collapsed="false">
      <c r="A272" s="37" t="str">
        <f aca="false">IF(B272="","",ROW()-3)</f>
        <v/>
      </c>
      <c r="B272" s="38"/>
      <c r="C272" s="39"/>
      <c r="D272" s="39"/>
      <c r="E272" s="39"/>
      <c r="F272" s="39"/>
      <c r="G272" s="40"/>
      <c r="H272" s="39"/>
      <c r="I272" s="40" t="n">
        <f aca="false">IF(G272="",0,G272*S272)</f>
        <v>0</v>
      </c>
      <c r="J272" s="40"/>
      <c r="K272" s="40" t="n">
        <f aca="false">IF(G272="",0,G272-I272-IF(J272="",0,J272))</f>
        <v>0</v>
      </c>
      <c r="L272" s="40" t="n">
        <f aca="false">IF(O272="",0,IFERROR(INDEX(Purchases!I:I,MATCH(O272*1,Purchases!A:A,0)),0))</f>
        <v>0</v>
      </c>
      <c r="M272" s="40" t="n">
        <f aca="false">IF(G272="",0,K272-L272)</f>
        <v>0</v>
      </c>
      <c r="N272" s="48" t="str">
        <f aca="false">IFERROR(IF(G272="","",M272/G272),"")</f>
        <v/>
      </c>
      <c r="O272" s="39"/>
      <c r="P272" s="39"/>
      <c r="Q272" s="39"/>
      <c r="R272" s="39"/>
      <c r="S272" s="48" t="n">
        <f aca="false">IFERROR(VLOOKUP(H272,Settings!B14:C25,2,FALSE()),0)</f>
        <v>0</v>
      </c>
    </row>
    <row r="273" customFormat="false" ht="15" hidden="false" customHeight="false" outlineLevel="0" collapsed="false">
      <c r="A273" s="41" t="str">
        <f aca="false">IF(B273="","",ROW()-3)</f>
        <v/>
      </c>
      <c r="B273" s="42"/>
      <c r="G273" s="44"/>
      <c r="I273" s="44" t="n">
        <f aca="false">IF(G273="",0,G273*S273)</f>
        <v>0</v>
      </c>
      <c r="J273" s="44"/>
      <c r="K273" s="44" t="n">
        <f aca="false">IF(G273="",0,G273-I273-IF(J273="",0,J273))</f>
        <v>0</v>
      </c>
      <c r="L273" s="44" t="n">
        <f aca="false">IF(O273="",0,IFERROR(INDEX(Purchases!I:I,MATCH(O273*1,Purchases!A:A,0)),0))</f>
        <v>0</v>
      </c>
      <c r="M273" s="44" t="n">
        <f aca="false">IF(G273="",0,K273-L273)</f>
        <v>0</v>
      </c>
      <c r="N273" s="49" t="str">
        <f aca="false">IFERROR(IF(G273="","",M273/G273),"")</f>
        <v/>
      </c>
      <c r="S273" s="49" t="n">
        <f aca="false">IFERROR(VLOOKUP(H273,Settings!B14:C25,2,FALSE()),0)</f>
        <v>0</v>
      </c>
    </row>
    <row r="274" customFormat="false" ht="15" hidden="false" customHeight="false" outlineLevel="0" collapsed="false">
      <c r="A274" s="37" t="str">
        <f aca="false">IF(B274="","",ROW()-3)</f>
        <v/>
      </c>
      <c r="B274" s="38"/>
      <c r="C274" s="39"/>
      <c r="D274" s="39"/>
      <c r="E274" s="39"/>
      <c r="F274" s="39"/>
      <c r="G274" s="40"/>
      <c r="H274" s="39"/>
      <c r="I274" s="40" t="n">
        <f aca="false">IF(G274="",0,G274*S274)</f>
        <v>0</v>
      </c>
      <c r="J274" s="40"/>
      <c r="K274" s="40" t="n">
        <f aca="false">IF(G274="",0,G274-I274-IF(J274="",0,J274))</f>
        <v>0</v>
      </c>
      <c r="L274" s="40" t="n">
        <f aca="false">IF(O274="",0,IFERROR(INDEX(Purchases!I:I,MATCH(O274*1,Purchases!A:A,0)),0))</f>
        <v>0</v>
      </c>
      <c r="M274" s="40" t="n">
        <f aca="false">IF(G274="",0,K274-L274)</f>
        <v>0</v>
      </c>
      <c r="N274" s="48" t="str">
        <f aca="false">IFERROR(IF(G274="","",M274/G274),"")</f>
        <v/>
      </c>
      <c r="O274" s="39"/>
      <c r="P274" s="39"/>
      <c r="Q274" s="39"/>
      <c r="R274" s="39"/>
      <c r="S274" s="48" t="n">
        <f aca="false">IFERROR(VLOOKUP(H274,Settings!B14:C25,2,FALSE()),0)</f>
        <v>0</v>
      </c>
    </row>
    <row r="275" customFormat="false" ht="15" hidden="false" customHeight="false" outlineLevel="0" collapsed="false">
      <c r="A275" s="41" t="str">
        <f aca="false">IF(B275="","",ROW()-3)</f>
        <v/>
      </c>
      <c r="B275" s="42"/>
      <c r="G275" s="44"/>
      <c r="I275" s="44" t="n">
        <f aca="false">IF(G275="",0,G275*S275)</f>
        <v>0</v>
      </c>
      <c r="J275" s="44"/>
      <c r="K275" s="44" t="n">
        <f aca="false">IF(G275="",0,G275-I275-IF(J275="",0,J275))</f>
        <v>0</v>
      </c>
      <c r="L275" s="44" t="n">
        <f aca="false">IF(O275="",0,IFERROR(INDEX(Purchases!I:I,MATCH(O275*1,Purchases!A:A,0)),0))</f>
        <v>0</v>
      </c>
      <c r="M275" s="44" t="n">
        <f aca="false">IF(G275="",0,K275-L275)</f>
        <v>0</v>
      </c>
      <c r="N275" s="49" t="str">
        <f aca="false">IFERROR(IF(G275="","",M275/G275),"")</f>
        <v/>
      </c>
      <c r="S275" s="49" t="n">
        <f aca="false">IFERROR(VLOOKUP(H275,Settings!B14:C25,2,FALSE()),0)</f>
        <v>0</v>
      </c>
    </row>
    <row r="276" customFormat="false" ht="15" hidden="false" customHeight="false" outlineLevel="0" collapsed="false">
      <c r="A276" s="37" t="str">
        <f aca="false">IF(B276="","",ROW()-3)</f>
        <v/>
      </c>
      <c r="B276" s="38"/>
      <c r="C276" s="39"/>
      <c r="D276" s="39"/>
      <c r="E276" s="39"/>
      <c r="F276" s="39"/>
      <c r="G276" s="40"/>
      <c r="H276" s="39"/>
      <c r="I276" s="40" t="n">
        <f aca="false">IF(G276="",0,G276*S276)</f>
        <v>0</v>
      </c>
      <c r="J276" s="40"/>
      <c r="K276" s="40" t="n">
        <f aca="false">IF(G276="",0,G276-I276-IF(J276="",0,J276))</f>
        <v>0</v>
      </c>
      <c r="L276" s="40" t="n">
        <f aca="false">IF(O276="",0,IFERROR(INDEX(Purchases!I:I,MATCH(O276*1,Purchases!A:A,0)),0))</f>
        <v>0</v>
      </c>
      <c r="M276" s="40" t="n">
        <f aca="false">IF(G276="",0,K276-L276)</f>
        <v>0</v>
      </c>
      <c r="N276" s="48" t="str">
        <f aca="false">IFERROR(IF(G276="","",M276/G276),"")</f>
        <v/>
      </c>
      <c r="O276" s="39"/>
      <c r="P276" s="39"/>
      <c r="Q276" s="39"/>
      <c r="R276" s="39"/>
      <c r="S276" s="48" t="n">
        <f aca="false">IFERROR(VLOOKUP(H276,Settings!B14:C25,2,FALSE()),0)</f>
        <v>0</v>
      </c>
    </row>
    <row r="277" customFormat="false" ht="15" hidden="false" customHeight="false" outlineLevel="0" collapsed="false">
      <c r="A277" s="41" t="str">
        <f aca="false">IF(B277="","",ROW()-3)</f>
        <v/>
      </c>
      <c r="B277" s="42"/>
      <c r="G277" s="44"/>
      <c r="I277" s="44" t="n">
        <f aca="false">IF(G277="",0,G277*S277)</f>
        <v>0</v>
      </c>
      <c r="J277" s="44"/>
      <c r="K277" s="44" t="n">
        <f aca="false">IF(G277="",0,G277-I277-IF(J277="",0,J277))</f>
        <v>0</v>
      </c>
      <c r="L277" s="44" t="n">
        <f aca="false">IF(O277="",0,IFERROR(INDEX(Purchases!I:I,MATCH(O277*1,Purchases!A:A,0)),0))</f>
        <v>0</v>
      </c>
      <c r="M277" s="44" t="n">
        <f aca="false">IF(G277="",0,K277-L277)</f>
        <v>0</v>
      </c>
      <c r="N277" s="49" t="str">
        <f aca="false">IFERROR(IF(G277="","",M277/G277),"")</f>
        <v/>
      </c>
      <c r="S277" s="49" t="n">
        <f aca="false">IFERROR(VLOOKUP(H277,Settings!B14:C25,2,FALSE()),0)</f>
        <v>0</v>
      </c>
    </row>
    <row r="278" customFormat="false" ht="15" hidden="false" customHeight="false" outlineLevel="0" collapsed="false">
      <c r="A278" s="37" t="str">
        <f aca="false">IF(B278="","",ROW()-3)</f>
        <v/>
      </c>
      <c r="B278" s="38"/>
      <c r="C278" s="39"/>
      <c r="D278" s="39"/>
      <c r="E278" s="39"/>
      <c r="F278" s="39"/>
      <c r="G278" s="40"/>
      <c r="H278" s="39"/>
      <c r="I278" s="40" t="n">
        <f aca="false">IF(G278="",0,G278*S278)</f>
        <v>0</v>
      </c>
      <c r="J278" s="40"/>
      <c r="K278" s="40" t="n">
        <f aca="false">IF(G278="",0,G278-I278-IF(J278="",0,J278))</f>
        <v>0</v>
      </c>
      <c r="L278" s="40" t="n">
        <f aca="false">IF(O278="",0,IFERROR(INDEX(Purchases!I:I,MATCH(O278*1,Purchases!A:A,0)),0))</f>
        <v>0</v>
      </c>
      <c r="M278" s="40" t="n">
        <f aca="false">IF(G278="",0,K278-L278)</f>
        <v>0</v>
      </c>
      <c r="N278" s="48" t="str">
        <f aca="false">IFERROR(IF(G278="","",M278/G278),"")</f>
        <v/>
      </c>
      <c r="O278" s="39"/>
      <c r="P278" s="39"/>
      <c r="Q278" s="39"/>
      <c r="R278" s="39"/>
      <c r="S278" s="48" t="n">
        <f aca="false">IFERROR(VLOOKUP(H278,Settings!B14:C25,2,FALSE()),0)</f>
        <v>0</v>
      </c>
    </row>
    <row r="279" customFormat="false" ht="15" hidden="false" customHeight="false" outlineLevel="0" collapsed="false">
      <c r="A279" s="41" t="str">
        <f aca="false">IF(B279="","",ROW()-3)</f>
        <v/>
      </c>
      <c r="B279" s="42"/>
      <c r="G279" s="44"/>
      <c r="I279" s="44" t="n">
        <f aca="false">IF(G279="",0,G279*S279)</f>
        <v>0</v>
      </c>
      <c r="J279" s="44"/>
      <c r="K279" s="44" t="n">
        <f aca="false">IF(G279="",0,G279-I279-IF(J279="",0,J279))</f>
        <v>0</v>
      </c>
      <c r="L279" s="44" t="n">
        <f aca="false">IF(O279="",0,IFERROR(INDEX(Purchases!I:I,MATCH(O279*1,Purchases!A:A,0)),0))</f>
        <v>0</v>
      </c>
      <c r="M279" s="44" t="n">
        <f aca="false">IF(G279="",0,K279-L279)</f>
        <v>0</v>
      </c>
      <c r="N279" s="49" t="str">
        <f aca="false">IFERROR(IF(G279="","",M279/G279),"")</f>
        <v/>
      </c>
      <c r="S279" s="49" t="n">
        <f aca="false">IFERROR(VLOOKUP(H279,Settings!B14:C25,2,FALSE()),0)</f>
        <v>0</v>
      </c>
    </row>
    <row r="280" customFormat="false" ht="15" hidden="false" customHeight="false" outlineLevel="0" collapsed="false">
      <c r="A280" s="37" t="str">
        <f aca="false">IF(B280="","",ROW()-3)</f>
        <v/>
      </c>
      <c r="B280" s="38"/>
      <c r="C280" s="39"/>
      <c r="D280" s="39"/>
      <c r="E280" s="39"/>
      <c r="F280" s="39"/>
      <c r="G280" s="40"/>
      <c r="H280" s="39"/>
      <c r="I280" s="40" t="n">
        <f aca="false">IF(G280="",0,G280*S280)</f>
        <v>0</v>
      </c>
      <c r="J280" s="40"/>
      <c r="K280" s="40" t="n">
        <f aca="false">IF(G280="",0,G280-I280-IF(J280="",0,J280))</f>
        <v>0</v>
      </c>
      <c r="L280" s="40" t="n">
        <f aca="false">IF(O280="",0,IFERROR(INDEX(Purchases!I:I,MATCH(O280*1,Purchases!A:A,0)),0))</f>
        <v>0</v>
      </c>
      <c r="M280" s="40" t="n">
        <f aca="false">IF(G280="",0,K280-L280)</f>
        <v>0</v>
      </c>
      <c r="N280" s="48" t="str">
        <f aca="false">IFERROR(IF(G280="","",M280/G280),"")</f>
        <v/>
      </c>
      <c r="O280" s="39"/>
      <c r="P280" s="39"/>
      <c r="Q280" s="39"/>
      <c r="R280" s="39"/>
      <c r="S280" s="48" t="n">
        <f aca="false">IFERROR(VLOOKUP(H280,Settings!B14:C25,2,FALSE()),0)</f>
        <v>0</v>
      </c>
    </row>
    <row r="281" customFormat="false" ht="15" hidden="false" customHeight="false" outlineLevel="0" collapsed="false">
      <c r="A281" s="41" t="str">
        <f aca="false">IF(B281="","",ROW()-3)</f>
        <v/>
      </c>
      <c r="B281" s="42"/>
      <c r="G281" s="44"/>
      <c r="I281" s="44" t="n">
        <f aca="false">IF(G281="",0,G281*S281)</f>
        <v>0</v>
      </c>
      <c r="J281" s="44"/>
      <c r="K281" s="44" t="n">
        <f aca="false">IF(G281="",0,G281-I281-IF(J281="",0,J281))</f>
        <v>0</v>
      </c>
      <c r="L281" s="44" t="n">
        <f aca="false">IF(O281="",0,IFERROR(INDEX(Purchases!I:I,MATCH(O281*1,Purchases!A:A,0)),0))</f>
        <v>0</v>
      </c>
      <c r="M281" s="44" t="n">
        <f aca="false">IF(G281="",0,K281-L281)</f>
        <v>0</v>
      </c>
      <c r="N281" s="49" t="str">
        <f aca="false">IFERROR(IF(G281="","",M281/G281),"")</f>
        <v/>
      </c>
      <c r="S281" s="49" t="n">
        <f aca="false">IFERROR(VLOOKUP(H281,Settings!B14:C25,2,FALSE()),0)</f>
        <v>0</v>
      </c>
    </row>
    <row r="282" customFormat="false" ht="15" hidden="false" customHeight="false" outlineLevel="0" collapsed="false">
      <c r="A282" s="37" t="str">
        <f aca="false">IF(B282="","",ROW()-3)</f>
        <v/>
      </c>
      <c r="B282" s="38"/>
      <c r="C282" s="39"/>
      <c r="D282" s="39"/>
      <c r="E282" s="39"/>
      <c r="F282" s="39"/>
      <c r="G282" s="40"/>
      <c r="H282" s="39"/>
      <c r="I282" s="40" t="n">
        <f aca="false">IF(G282="",0,G282*S282)</f>
        <v>0</v>
      </c>
      <c r="J282" s="40"/>
      <c r="K282" s="40" t="n">
        <f aca="false">IF(G282="",0,G282-I282-IF(J282="",0,J282))</f>
        <v>0</v>
      </c>
      <c r="L282" s="40" t="n">
        <f aca="false">IF(O282="",0,IFERROR(INDEX(Purchases!I:I,MATCH(O282*1,Purchases!A:A,0)),0))</f>
        <v>0</v>
      </c>
      <c r="M282" s="40" t="n">
        <f aca="false">IF(G282="",0,K282-L282)</f>
        <v>0</v>
      </c>
      <c r="N282" s="48" t="str">
        <f aca="false">IFERROR(IF(G282="","",M282/G282),"")</f>
        <v/>
      </c>
      <c r="O282" s="39"/>
      <c r="P282" s="39"/>
      <c r="Q282" s="39"/>
      <c r="R282" s="39"/>
      <c r="S282" s="48" t="n">
        <f aca="false">IFERROR(VLOOKUP(H282,Settings!B14:C25,2,FALSE()),0)</f>
        <v>0</v>
      </c>
    </row>
    <row r="283" customFormat="false" ht="15" hidden="false" customHeight="false" outlineLevel="0" collapsed="false">
      <c r="A283" s="41" t="str">
        <f aca="false">IF(B283="","",ROW()-3)</f>
        <v/>
      </c>
      <c r="B283" s="42"/>
      <c r="G283" s="44"/>
      <c r="I283" s="44" t="n">
        <f aca="false">IF(G283="",0,G283*S283)</f>
        <v>0</v>
      </c>
      <c r="J283" s="44"/>
      <c r="K283" s="44" t="n">
        <f aca="false">IF(G283="",0,G283-I283-IF(J283="",0,J283))</f>
        <v>0</v>
      </c>
      <c r="L283" s="44" t="n">
        <f aca="false">IF(O283="",0,IFERROR(INDEX(Purchases!I:I,MATCH(O283*1,Purchases!A:A,0)),0))</f>
        <v>0</v>
      </c>
      <c r="M283" s="44" t="n">
        <f aca="false">IF(G283="",0,K283-L283)</f>
        <v>0</v>
      </c>
      <c r="N283" s="49" t="str">
        <f aca="false">IFERROR(IF(G283="","",M283/G283),"")</f>
        <v/>
      </c>
      <c r="S283" s="49" t="n">
        <f aca="false">IFERROR(VLOOKUP(H283,Settings!B14:C25,2,FALSE()),0)</f>
        <v>0</v>
      </c>
    </row>
    <row r="284" customFormat="false" ht="15" hidden="false" customHeight="false" outlineLevel="0" collapsed="false">
      <c r="A284" s="37" t="str">
        <f aca="false">IF(B284="","",ROW()-3)</f>
        <v/>
      </c>
      <c r="B284" s="38"/>
      <c r="C284" s="39"/>
      <c r="D284" s="39"/>
      <c r="E284" s="39"/>
      <c r="F284" s="39"/>
      <c r="G284" s="40"/>
      <c r="H284" s="39"/>
      <c r="I284" s="40" t="n">
        <f aca="false">IF(G284="",0,G284*S284)</f>
        <v>0</v>
      </c>
      <c r="J284" s="40"/>
      <c r="K284" s="40" t="n">
        <f aca="false">IF(G284="",0,G284-I284-IF(J284="",0,J284))</f>
        <v>0</v>
      </c>
      <c r="L284" s="40" t="n">
        <f aca="false">IF(O284="",0,IFERROR(INDEX(Purchases!I:I,MATCH(O284*1,Purchases!A:A,0)),0))</f>
        <v>0</v>
      </c>
      <c r="M284" s="40" t="n">
        <f aca="false">IF(G284="",0,K284-L284)</f>
        <v>0</v>
      </c>
      <c r="N284" s="48" t="str">
        <f aca="false">IFERROR(IF(G284="","",M284/G284),"")</f>
        <v/>
      </c>
      <c r="O284" s="39"/>
      <c r="P284" s="39"/>
      <c r="Q284" s="39"/>
      <c r="R284" s="39"/>
      <c r="S284" s="48" t="n">
        <f aca="false">IFERROR(VLOOKUP(H284,Settings!B14:C25,2,FALSE()),0)</f>
        <v>0</v>
      </c>
    </row>
    <row r="285" customFormat="false" ht="15" hidden="false" customHeight="false" outlineLevel="0" collapsed="false">
      <c r="A285" s="41" t="str">
        <f aca="false">IF(B285="","",ROW()-3)</f>
        <v/>
      </c>
      <c r="B285" s="42"/>
      <c r="G285" s="44"/>
      <c r="I285" s="44" t="n">
        <f aca="false">IF(G285="",0,G285*S285)</f>
        <v>0</v>
      </c>
      <c r="J285" s="44"/>
      <c r="K285" s="44" t="n">
        <f aca="false">IF(G285="",0,G285-I285-IF(J285="",0,J285))</f>
        <v>0</v>
      </c>
      <c r="L285" s="44" t="n">
        <f aca="false">IF(O285="",0,IFERROR(INDEX(Purchases!I:I,MATCH(O285*1,Purchases!A:A,0)),0))</f>
        <v>0</v>
      </c>
      <c r="M285" s="44" t="n">
        <f aca="false">IF(G285="",0,K285-L285)</f>
        <v>0</v>
      </c>
      <c r="N285" s="49" t="str">
        <f aca="false">IFERROR(IF(G285="","",M285/G285),"")</f>
        <v/>
      </c>
      <c r="S285" s="49" t="n">
        <f aca="false">IFERROR(VLOOKUP(H285,Settings!B14:C25,2,FALSE()),0)</f>
        <v>0</v>
      </c>
    </row>
    <row r="286" customFormat="false" ht="15" hidden="false" customHeight="false" outlineLevel="0" collapsed="false">
      <c r="A286" s="37" t="str">
        <f aca="false">IF(B286="","",ROW()-3)</f>
        <v/>
      </c>
      <c r="B286" s="38"/>
      <c r="C286" s="39"/>
      <c r="D286" s="39"/>
      <c r="E286" s="39"/>
      <c r="F286" s="39"/>
      <c r="G286" s="40"/>
      <c r="H286" s="39"/>
      <c r="I286" s="40" t="n">
        <f aca="false">IF(G286="",0,G286*S286)</f>
        <v>0</v>
      </c>
      <c r="J286" s="40"/>
      <c r="K286" s="40" t="n">
        <f aca="false">IF(G286="",0,G286-I286-IF(J286="",0,J286))</f>
        <v>0</v>
      </c>
      <c r="L286" s="40" t="n">
        <f aca="false">IF(O286="",0,IFERROR(INDEX(Purchases!I:I,MATCH(O286*1,Purchases!A:A,0)),0))</f>
        <v>0</v>
      </c>
      <c r="M286" s="40" t="n">
        <f aca="false">IF(G286="",0,K286-L286)</f>
        <v>0</v>
      </c>
      <c r="N286" s="48" t="str">
        <f aca="false">IFERROR(IF(G286="","",M286/G286),"")</f>
        <v/>
      </c>
      <c r="O286" s="39"/>
      <c r="P286" s="39"/>
      <c r="Q286" s="39"/>
      <c r="R286" s="39"/>
      <c r="S286" s="48" t="n">
        <f aca="false">IFERROR(VLOOKUP(H286,Settings!B14:C25,2,FALSE()),0)</f>
        <v>0</v>
      </c>
    </row>
    <row r="287" customFormat="false" ht="15" hidden="false" customHeight="false" outlineLevel="0" collapsed="false">
      <c r="A287" s="41" t="str">
        <f aca="false">IF(B287="","",ROW()-3)</f>
        <v/>
      </c>
      <c r="B287" s="42"/>
      <c r="G287" s="44"/>
      <c r="I287" s="44" t="n">
        <f aca="false">IF(G287="",0,G287*S287)</f>
        <v>0</v>
      </c>
      <c r="J287" s="44"/>
      <c r="K287" s="44" t="n">
        <f aca="false">IF(G287="",0,G287-I287-IF(J287="",0,J287))</f>
        <v>0</v>
      </c>
      <c r="L287" s="44" t="n">
        <f aca="false">IF(O287="",0,IFERROR(INDEX(Purchases!I:I,MATCH(O287*1,Purchases!A:A,0)),0))</f>
        <v>0</v>
      </c>
      <c r="M287" s="44" t="n">
        <f aca="false">IF(G287="",0,K287-L287)</f>
        <v>0</v>
      </c>
      <c r="N287" s="49" t="str">
        <f aca="false">IFERROR(IF(G287="","",M287/G287),"")</f>
        <v/>
      </c>
      <c r="S287" s="49" t="n">
        <f aca="false">IFERROR(VLOOKUP(H287,Settings!B14:C25,2,FALSE()),0)</f>
        <v>0</v>
      </c>
    </row>
    <row r="288" customFormat="false" ht="15" hidden="false" customHeight="false" outlineLevel="0" collapsed="false">
      <c r="A288" s="37" t="str">
        <f aca="false">IF(B288="","",ROW()-3)</f>
        <v/>
      </c>
      <c r="B288" s="38"/>
      <c r="C288" s="39"/>
      <c r="D288" s="39"/>
      <c r="E288" s="39"/>
      <c r="F288" s="39"/>
      <c r="G288" s="40"/>
      <c r="H288" s="39"/>
      <c r="I288" s="40" t="n">
        <f aca="false">IF(G288="",0,G288*S288)</f>
        <v>0</v>
      </c>
      <c r="J288" s="40"/>
      <c r="K288" s="40" t="n">
        <f aca="false">IF(G288="",0,G288-I288-IF(J288="",0,J288))</f>
        <v>0</v>
      </c>
      <c r="L288" s="40" t="n">
        <f aca="false">IF(O288="",0,IFERROR(INDEX(Purchases!I:I,MATCH(O288*1,Purchases!A:A,0)),0))</f>
        <v>0</v>
      </c>
      <c r="M288" s="40" t="n">
        <f aca="false">IF(G288="",0,K288-L288)</f>
        <v>0</v>
      </c>
      <c r="N288" s="48" t="str">
        <f aca="false">IFERROR(IF(G288="","",M288/G288),"")</f>
        <v/>
      </c>
      <c r="O288" s="39"/>
      <c r="P288" s="39"/>
      <c r="Q288" s="39"/>
      <c r="R288" s="39"/>
      <c r="S288" s="48" t="n">
        <f aca="false">IFERROR(VLOOKUP(H288,Settings!B14:C25,2,FALSE()),0)</f>
        <v>0</v>
      </c>
    </row>
    <row r="289" customFormat="false" ht="15" hidden="false" customHeight="false" outlineLevel="0" collapsed="false">
      <c r="A289" s="41" t="str">
        <f aca="false">IF(B289="","",ROW()-3)</f>
        <v/>
      </c>
      <c r="B289" s="42"/>
      <c r="G289" s="44"/>
      <c r="I289" s="44" t="n">
        <f aca="false">IF(G289="",0,G289*S289)</f>
        <v>0</v>
      </c>
      <c r="J289" s="44"/>
      <c r="K289" s="44" t="n">
        <f aca="false">IF(G289="",0,G289-I289-IF(J289="",0,J289))</f>
        <v>0</v>
      </c>
      <c r="L289" s="44" t="n">
        <f aca="false">IF(O289="",0,IFERROR(INDEX(Purchases!I:I,MATCH(O289*1,Purchases!A:A,0)),0))</f>
        <v>0</v>
      </c>
      <c r="M289" s="44" t="n">
        <f aca="false">IF(G289="",0,K289-L289)</f>
        <v>0</v>
      </c>
      <c r="N289" s="49" t="str">
        <f aca="false">IFERROR(IF(G289="","",M289/G289),"")</f>
        <v/>
      </c>
      <c r="S289" s="49" t="n">
        <f aca="false">IFERROR(VLOOKUP(H289,Settings!B14:C25,2,FALSE()),0)</f>
        <v>0</v>
      </c>
    </row>
    <row r="290" customFormat="false" ht="15" hidden="false" customHeight="false" outlineLevel="0" collapsed="false">
      <c r="A290" s="37" t="str">
        <f aca="false">IF(B290="","",ROW()-3)</f>
        <v/>
      </c>
      <c r="B290" s="38"/>
      <c r="C290" s="39"/>
      <c r="D290" s="39"/>
      <c r="E290" s="39"/>
      <c r="F290" s="39"/>
      <c r="G290" s="40"/>
      <c r="H290" s="39"/>
      <c r="I290" s="40" t="n">
        <f aca="false">IF(G290="",0,G290*S290)</f>
        <v>0</v>
      </c>
      <c r="J290" s="40"/>
      <c r="K290" s="40" t="n">
        <f aca="false">IF(G290="",0,G290-I290-IF(J290="",0,J290))</f>
        <v>0</v>
      </c>
      <c r="L290" s="40" t="n">
        <f aca="false">IF(O290="",0,IFERROR(INDEX(Purchases!I:I,MATCH(O290*1,Purchases!A:A,0)),0))</f>
        <v>0</v>
      </c>
      <c r="M290" s="40" t="n">
        <f aca="false">IF(G290="",0,K290-L290)</f>
        <v>0</v>
      </c>
      <c r="N290" s="48" t="str">
        <f aca="false">IFERROR(IF(G290="","",M290/G290),"")</f>
        <v/>
      </c>
      <c r="O290" s="39"/>
      <c r="P290" s="39"/>
      <c r="Q290" s="39"/>
      <c r="R290" s="39"/>
      <c r="S290" s="48" t="n">
        <f aca="false">IFERROR(VLOOKUP(H290,Settings!B14:C25,2,FALSE()),0)</f>
        <v>0</v>
      </c>
    </row>
    <row r="291" customFormat="false" ht="15" hidden="false" customHeight="false" outlineLevel="0" collapsed="false">
      <c r="A291" s="41" t="str">
        <f aca="false">IF(B291="","",ROW()-3)</f>
        <v/>
      </c>
      <c r="B291" s="42"/>
      <c r="G291" s="44"/>
      <c r="I291" s="44" t="n">
        <f aca="false">IF(G291="",0,G291*S291)</f>
        <v>0</v>
      </c>
      <c r="J291" s="44"/>
      <c r="K291" s="44" t="n">
        <f aca="false">IF(G291="",0,G291-I291-IF(J291="",0,J291))</f>
        <v>0</v>
      </c>
      <c r="L291" s="44" t="n">
        <f aca="false">IF(O291="",0,IFERROR(INDEX(Purchases!I:I,MATCH(O291*1,Purchases!A:A,0)),0))</f>
        <v>0</v>
      </c>
      <c r="M291" s="44" t="n">
        <f aca="false">IF(G291="",0,K291-L291)</f>
        <v>0</v>
      </c>
      <c r="N291" s="49" t="str">
        <f aca="false">IFERROR(IF(G291="","",M291/G291),"")</f>
        <v/>
      </c>
      <c r="S291" s="49" t="n">
        <f aca="false">IFERROR(VLOOKUP(H291,Settings!B14:C25,2,FALSE()),0)</f>
        <v>0</v>
      </c>
    </row>
    <row r="292" customFormat="false" ht="15" hidden="false" customHeight="false" outlineLevel="0" collapsed="false">
      <c r="A292" s="37" t="str">
        <f aca="false">IF(B292="","",ROW()-3)</f>
        <v/>
      </c>
      <c r="B292" s="38"/>
      <c r="C292" s="39"/>
      <c r="D292" s="39"/>
      <c r="E292" s="39"/>
      <c r="F292" s="39"/>
      <c r="G292" s="40"/>
      <c r="H292" s="39"/>
      <c r="I292" s="40" t="n">
        <f aca="false">IF(G292="",0,G292*S292)</f>
        <v>0</v>
      </c>
      <c r="J292" s="40"/>
      <c r="K292" s="40" t="n">
        <f aca="false">IF(G292="",0,G292-I292-IF(J292="",0,J292))</f>
        <v>0</v>
      </c>
      <c r="L292" s="40" t="n">
        <f aca="false">IF(O292="",0,IFERROR(INDEX(Purchases!I:I,MATCH(O292*1,Purchases!A:A,0)),0))</f>
        <v>0</v>
      </c>
      <c r="M292" s="40" t="n">
        <f aca="false">IF(G292="",0,K292-L292)</f>
        <v>0</v>
      </c>
      <c r="N292" s="48" t="str">
        <f aca="false">IFERROR(IF(G292="","",M292/G292),"")</f>
        <v/>
      </c>
      <c r="O292" s="39"/>
      <c r="P292" s="39"/>
      <c r="Q292" s="39"/>
      <c r="R292" s="39"/>
      <c r="S292" s="48" t="n">
        <f aca="false">IFERROR(VLOOKUP(H292,Settings!B14:C25,2,FALSE()),0)</f>
        <v>0</v>
      </c>
    </row>
    <row r="293" customFormat="false" ht="15" hidden="false" customHeight="false" outlineLevel="0" collapsed="false">
      <c r="A293" s="41" t="str">
        <f aca="false">IF(B293="","",ROW()-3)</f>
        <v/>
      </c>
      <c r="B293" s="42"/>
      <c r="G293" s="44"/>
      <c r="I293" s="44" t="n">
        <f aca="false">IF(G293="",0,G293*S293)</f>
        <v>0</v>
      </c>
      <c r="J293" s="44"/>
      <c r="K293" s="44" t="n">
        <f aca="false">IF(G293="",0,G293-I293-IF(J293="",0,J293))</f>
        <v>0</v>
      </c>
      <c r="L293" s="44" t="n">
        <f aca="false">IF(O293="",0,IFERROR(INDEX(Purchases!I:I,MATCH(O293*1,Purchases!A:A,0)),0))</f>
        <v>0</v>
      </c>
      <c r="M293" s="44" t="n">
        <f aca="false">IF(G293="",0,K293-L293)</f>
        <v>0</v>
      </c>
      <c r="N293" s="49" t="str">
        <f aca="false">IFERROR(IF(G293="","",M293/G293),"")</f>
        <v/>
      </c>
      <c r="S293" s="49" t="n">
        <f aca="false">IFERROR(VLOOKUP(H293,Settings!B14:C25,2,FALSE()),0)</f>
        <v>0</v>
      </c>
    </row>
    <row r="294" customFormat="false" ht="15" hidden="false" customHeight="false" outlineLevel="0" collapsed="false">
      <c r="A294" s="37" t="str">
        <f aca="false">IF(B294="","",ROW()-3)</f>
        <v/>
      </c>
      <c r="B294" s="38"/>
      <c r="C294" s="39"/>
      <c r="D294" s="39"/>
      <c r="E294" s="39"/>
      <c r="F294" s="39"/>
      <c r="G294" s="40"/>
      <c r="H294" s="39"/>
      <c r="I294" s="40" t="n">
        <f aca="false">IF(G294="",0,G294*S294)</f>
        <v>0</v>
      </c>
      <c r="J294" s="40"/>
      <c r="K294" s="40" t="n">
        <f aca="false">IF(G294="",0,G294-I294-IF(J294="",0,J294))</f>
        <v>0</v>
      </c>
      <c r="L294" s="40" t="n">
        <f aca="false">IF(O294="",0,IFERROR(INDEX(Purchases!I:I,MATCH(O294*1,Purchases!A:A,0)),0))</f>
        <v>0</v>
      </c>
      <c r="M294" s="40" t="n">
        <f aca="false">IF(G294="",0,K294-L294)</f>
        <v>0</v>
      </c>
      <c r="N294" s="48" t="str">
        <f aca="false">IFERROR(IF(G294="","",M294/G294),"")</f>
        <v/>
      </c>
      <c r="O294" s="39"/>
      <c r="P294" s="39"/>
      <c r="Q294" s="39"/>
      <c r="R294" s="39"/>
      <c r="S294" s="48" t="n">
        <f aca="false">IFERROR(VLOOKUP(H294,Settings!B14:C25,2,FALSE()),0)</f>
        <v>0</v>
      </c>
    </row>
    <row r="295" customFormat="false" ht="15" hidden="false" customHeight="false" outlineLevel="0" collapsed="false">
      <c r="A295" s="41" t="str">
        <f aca="false">IF(B295="","",ROW()-3)</f>
        <v/>
      </c>
      <c r="B295" s="42"/>
      <c r="G295" s="44"/>
      <c r="I295" s="44" t="n">
        <f aca="false">IF(G295="",0,G295*S295)</f>
        <v>0</v>
      </c>
      <c r="J295" s="44"/>
      <c r="K295" s="44" t="n">
        <f aca="false">IF(G295="",0,G295-I295-IF(J295="",0,J295))</f>
        <v>0</v>
      </c>
      <c r="L295" s="44" t="n">
        <f aca="false">IF(O295="",0,IFERROR(INDEX(Purchases!I:I,MATCH(O295*1,Purchases!A:A,0)),0))</f>
        <v>0</v>
      </c>
      <c r="M295" s="44" t="n">
        <f aca="false">IF(G295="",0,K295-L295)</f>
        <v>0</v>
      </c>
      <c r="N295" s="49" t="str">
        <f aca="false">IFERROR(IF(G295="","",M295/G295),"")</f>
        <v/>
      </c>
      <c r="S295" s="49" t="n">
        <f aca="false">IFERROR(VLOOKUP(H295,Settings!B14:C25,2,FALSE()),0)</f>
        <v>0</v>
      </c>
    </row>
    <row r="296" customFormat="false" ht="15" hidden="false" customHeight="false" outlineLevel="0" collapsed="false">
      <c r="A296" s="37" t="str">
        <f aca="false">IF(B296="","",ROW()-3)</f>
        <v/>
      </c>
      <c r="B296" s="38"/>
      <c r="C296" s="39"/>
      <c r="D296" s="39"/>
      <c r="E296" s="39"/>
      <c r="F296" s="39"/>
      <c r="G296" s="40"/>
      <c r="H296" s="39"/>
      <c r="I296" s="40" t="n">
        <f aca="false">IF(G296="",0,G296*S296)</f>
        <v>0</v>
      </c>
      <c r="J296" s="40"/>
      <c r="K296" s="40" t="n">
        <f aca="false">IF(G296="",0,G296-I296-IF(J296="",0,J296))</f>
        <v>0</v>
      </c>
      <c r="L296" s="40" t="n">
        <f aca="false">IF(O296="",0,IFERROR(INDEX(Purchases!I:I,MATCH(O296*1,Purchases!A:A,0)),0))</f>
        <v>0</v>
      </c>
      <c r="M296" s="40" t="n">
        <f aca="false">IF(G296="",0,K296-L296)</f>
        <v>0</v>
      </c>
      <c r="N296" s="48" t="str">
        <f aca="false">IFERROR(IF(G296="","",M296/G296),"")</f>
        <v/>
      </c>
      <c r="O296" s="39"/>
      <c r="P296" s="39"/>
      <c r="Q296" s="39"/>
      <c r="R296" s="39"/>
      <c r="S296" s="48" t="n">
        <f aca="false">IFERROR(VLOOKUP(H296,Settings!B14:C25,2,FALSE()),0)</f>
        <v>0</v>
      </c>
    </row>
    <row r="297" customFormat="false" ht="15" hidden="false" customHeight="false" outlineLevel="0" collapsed="false">
      <c r="A297" s="41" t="str">
        <f aca="false">IF(B297="","",ROW()-3)</f>
        <v/>
      </c>
      <c r="B297" s="42"/>
      <c r="G297" s="44"/>
      <c r="I297" s="44" t="n">
        <f aca="false">IF(G297="",0,G297*S297)</f>
        <v>0</v>
      </c>
      <c r="J297" s="44"/>
      <c r="K297" s="44" t="n">
        <f aca="false">IF(G297="",0,G297-I297-IF(J297="",0,J297))</f>
        <v>0</v>
      </c>
      <c r="L297" s="44" t="n">
        <f aca="false">IF(O297="",0,IFERROR(INDEX(Purchases!I:I,MATCH(O297*1,Purchases!A:A,0)),0))</f>
        <v>0</v>
      </c>
      <c r="M297" s="44" t="n">
        <f aca="false">IF(G297="",0,K297-L297)</f>
        <v>0</v>
      </c>
      <c r="N297" s="49" t="str">
        <f aca="false">IFERROR(IF(G297="","",M297/G297),"")</f>
        <v/>
      </c>
      <c r="S297" s="49" t="n">
        <f aca="false">IFERROR(VLOOKUP(H297,Settings!B14:C25,2,FALSE()),0)</f>
        <v>0</v>
      </c>
    </row>
    <row r="298" customFormat="false" ht="15" hidden="false" customHeight="false" outlineLevel="0" collapsed="false">
      <c r="A298" s="37" t="str">
        <f aca="false">IF(B298="","",ROW()-3)</f>
        <v/>
      </c>
      <c r="B298" s="38"/>
      <c r="C298" s="39"/>
      <c r="D298" s="39"/>
      <c r="E298" s="39"/>
      <c r="F298" s="39"/>
      <c r="G298" s="40"/>
      <c r="H298" s="39"/>
      <c r="I298" s="40" t="n">
        <f aca="false">IF(G298="",0,G298*S298)</f>
        <v>0</v>
      </c>
      <c r="J298" s="40"/>
      <c r="K298" s="40" t="n">
        <f aca="false">IF(G298="",0,G298-I298-IF(J298="",0,J298))</f>
        <v>0</v>
      </c>
      <c r="L298" s="40" t="n">
        <f aca="false">IF(O298="",0,IFERROR(INDEX(Purchases!I:I,MATCH(O298*1,Purchases!A:A,0)),0))</f>
        <v>0</v>
      </c>
      <c r="M298" s="40" t="n">
        <f aca="false">IF(G298="",0,K298-L298)</f>
        <v>0</v>
      </c>
      <c r="N298" s="48" t="str">
        <f aca="false">IFERROR(IF(G298="","",M298/G298),"")</f>
        <v/>
      </c>
      <c r="O298" s="39"/>
      <c r="P298" s="39"/>
      <c r="Q298" s="39"/>
      <c r="R298" s="39"/>
      <c r="S298" s="48" t="n">
        <f aca="false">IFERROR(VLOOKUP(H298,Settings!B14:C25,2,FALSE()),0)</f>
        <v>0</v>
      </c>
    </row>
    <row r="299" customFormat="false" ht="15" hidden="false" customHeight="false" outlineLevel="0" collapsed="false">
      <c r="A299" s="41" t="str">
        <f aca="false">IF(B299="","",ROW()-3)</f>
        <v/>
      </c>
      <c r="B299" s="42"/>
      <c r="G299" s="44"/>
      <c r="I299" s="44" t="n">
        <f aca="false">IF(G299="",0,G299*S299)</f>
        <v>0</v>
      </c>
      <c r="J299" s="44"/>
      <c r="K299" s="44" t="n">
        <f aca="false">IF(G299="",0,G299-I299-IF(J299="",0,J299))</f>
        <v>0</v>
      </c>
      <c r="L299" s="44" t="n">
        <f aca="false">IF(O299="",0,IFERROR(INDEX(Purchases!I:I,MATCH(O299*1,Purchases!A:A,0)),0))</f>
        <v>0</v>
      </c>
      <c r="M299" s="44" t="n">
        <f aca="false">IF(G299="",0,K299-L299)</f>
        <v>0</v>
      </c>
      <c r="N299" s="49" t="str">
        <f aca="false">IFERROR(IF(G299="","",M299/G299),"")</f>
        <v/>
      </c>
      <c r="S299" s="49" t="n">
        <f aca="false">IFERROR(VLOOKUP(H299,Settings!B14:C25,2,FALSE()),0)</f>
        <v>0</v>
      </c>
    </row>
    <row r="300" customFormat="false" ht="15" hidden="false" customHeight="false" outlineLevel="0" collapsed="false">
      <c r="A300" s="37" t="str">
        <f aca="false">IF(B300="","",ROW()-3)</f>
        <v/>
      </c>
      <c r="B300" s="38"/>
      <c r="C300" s="39"/>
      <c r="D300" s="39"/>
      <c r="E300" s="39"/>
      <c r="F300" s="39"/>
      <c r="G300" s="40"/>
      <c r="H300" s="39"/>
      <c r="I300" s="40" t="n">
        <f aca="false">IF(G300="",0,G300*S300)</f>
        <v>0</v>
      </c>
      <c r="J300" s="40"/>
      <c r="K300" s="40" t="n">
        <f aca="false">IF(G300="",0,G300-I300-IF(J300="",0,J300))</f>
        <v>0</v>
      </c>
      <c r="L300" s="40" t="n">
        <f aca="false">IF(O300="",0,IFERROR(INDEX(Purchases!I:I,MATCH(O300*1,Purchases!A:A,0)),0))</f>
        <v>0</v>
      </c>
      <c r="M300" s="40" t="n">
        <f aca="false">IF(G300="",0,K300-L300)</f>
        <v>0</v>
      </c>
      <c r="N300" s="48" t="str">
        <f aca="false">IFERROR(IF(G300="","",M300/G300),"")</f>
        <v/>
      </c>
      <c r="O300" s="39"/>
      <c r="P300" s="39"/>
      <c r="Q300" s="39"/>
      <c r="R300" s="39"/>
      <c r="S300" s="48" t="n">
        <f aca="false">IFERROR(VLOOKUP(H300,Settings!B14:C25,2,FALSE()),0)</f>
        <v>0</v>
      </c>
    </row>
    <row r="301" customFormat="false" ht="15" hidden="false" customHeight="false" outlineLevel="0" collapsed="false">
      <c r="A301" s="41" t="str">
        <f aca="false">IF(B301="","",ROW()-3)</f>
        <v/>
      </c>
      <c r="B301" s="42"/>
      <c r="G301" s="44"/>
      <c r="I301" s="44" t="n">
        <f aca="false">IF(G301="",0,G301*S301)</f>
        <v>0</v>
      </c>
      <c r="J301" s="44"/>
      <c r="K301" s="44" t="n">
        <f aca="false">IF(G301="",0,G301-I301-IF(J301="",0,J301))</f>
        <v>0</v>
      </c>
      <c r="L301" s="44" t="n">
        <f aca="false">IF(O301="",0,IFERROR(INDEX(Purchases!I:I,MATCH(O301*1,Purchases!A:A,0)),0))</f>
        <v>0</v>
      </c>
      <c r="M301" s="44" t="n">
        <f aca="false">IF(G301="",0,K301-L301)</f>
        <v>0</v>
      </c>
      <c r="N301" s="49" t="str">
        <f aca="false">IFERROR(IF(G301="","",M301/G301),"")</f>
        <v/>
      </c>
      <c r="S301" s="49" t="n">
        <f aca="false">IFERROR(VLOOKUP(H301,Settings!B14:C25,2,FALSE()),0)</f>
        <v>0</v>
      </c>
    </row>
    <row r="302" customFormat="false" ht="15" hidden="false" customHeight="false" outlineLevel="0" collapsed="false">
      <c r="A302" s="37" t="str">
        <f aca="false">IF(B302="","",ROW()-3)</f>
        <v/>
      </c>
      <c r="B302" s="38"/>
      <c r="C302" s="39"/>
      <c r="D302" s="39"/>
      <c r="E302" s="39"/>
      <c r="F302" s="39"/>
      <c r="G302" s="40"/>
      <c r="H302" s="39"/>
      <c r="I302" s="40" t="n">
        <f aca="false">IF(G302="",0,G302*S302)</f>
        <v>0</v>
      </c>
      <c r="J302" s="40"/>
      <c r="K302" s="40" t="n">
        <f aca="false">IF(G302="",0,G302-I302-IF(J302="",0,J302))</f>
        <v>0</v>
      </c>
      <c r="L302" s="40" t="n">
        <f aca="false">IF(O302="",0,IFERROR(INDEX(Purchases!I:I,MATCH(O302*1,Purchases!A:A,0)),0))</f>
        <v>0</v>
      </c>
      <c r="M302" s="40" t="n">
        <f aca="false">IF(G302="",0,K302-L302)</f>
        <v>0</v>
      </c>
      <c r="N302" s="48" t="str">
        <f aca="false">IFERROR(IF(G302="","",M302/G302),"")</f>
        <v/>
      </c>
      <c r="O302" s="39"/>
      <c r="P302" s="39"/>
      <c r="Q302" s="39"/>
      <c r="R302" s="39"/>
      <c r="S302" s="48" t="n">
        <f aca="false">IFERROR(VLOOKUP(H302,Settings!B14:C25,2,FALSE()),0)</f>
        <v>0</v>
      </c>
    </row>
    <row r="303" customFormat="false" ht="15" hidden="false" customHeight="false" outlineLevel="0" collapsed="false">
      <c r="A303" s="41" t="str">
        <f aca="false">IF(B303="","",ROW()-3)</f>
        <v/>
      </c>
      <c r="B303" s="42"/>
      <c r="G303" s="44"/>
      <c r="I303" s="44" t="n">
        <f aca="false">IF(G303="",0,G303*S303)</f>
        <v>0</v>
      </c>
      <c r="J303" s="44"/>
      <c r="K303" s="44" t="n">
        <f aca="false">IF(G303="",0,G303-I303-IF(J303="",0,J303))</f>
        <v>0</v>
      </c>
      <c r="L303" s="44" t="n">
        <f aca="false">IF(O303="",0,IFERROR(INDEX(Purchases!I:I,MATCH(O303*1,Purchases!A:A,0)),0))</f>
        <v>0</v>
      </c>
      <c r="M303" s="44" t="n">
        <f aca="false">IF(G303="",0,K303-L303)</f>
        <v>0</v>
      </c>
      <c r="N303" s="49" t="str">
        <f aca="false">IFERROR(IF(G303="","",M303/G303),"")</f>
        <v/>
      </c>
      <c r="S303" s="49" t="n">
        <f aca="false">IFERROR(VLOOKUP(H303,Settings!B14:C25,2,FALSE()),0)</f>
        <v>0</v>
      </c>
    </row>
    <row r="304" customFormat="false" ht="15" hidden="false" customHeight="false" outlineLevel="0" collapsed="false">
      <c r="A304" s="37" t="str">
        <f aca="false">IF(B304="","",ROW()-3)</f>
        <v/>
      </c>
      <c r="B304" s="38"/>
      <c r="C304" s="39"/>
      <c r="D304" s="39"/>
      <c r="E304" s="39"/>
      <c r="F304" s="39"/>
      <c r="G304" s="40"/>
      <c r="H304" s="39"/>
      <c r="I304" s="40" t="n">
        <f aca="false">IF(G304="",0,G304*S304)</f>
        <v>0</v>
      </c>
      <c r="J304" s="40"/>
      <c r="K304" s="40" t="n">
        <f aca="false">IF(G304="",0,G304-I304-IF(J304="",0,J304))</f>
        <v>0</v>
      </c>
      <c r="L304" s="40" t="n">
        <f aca="false">IF(O304="",0,IFERROR(INDEX(Purchases!I:I,MATCH(O304*1,Purchases!A:A,0)),0))</f>
        <v>0</v>
      </c>
      <c r="M304" s="40" t="n">
        <f aca="false">IF(G304="",0,K304-L304)</f>
        <v>0</v>
      </c>
      <c r="N304" s="48" t="str">
        <f aca="false">IFERROR(IF(G304="","",M304/G304),"")</f>
        <v/>
      </c>
      <c r="O304" s="39"/>
      <c r="P304" s="39"/>
      <c r="Q304" s="39"/>
      <c r="R304" s="39"/>
      <c r="S304" s="48" t="n">
        <f aca="false">IFERROR(VLOOKUP(H304,Settings!B14:C25,2,FALSE()),0)</f>
        <v>0</v>
      </c>
    </row>
    <row r="305" customFormat="false" ht="15" hidden="false" customHeight="false" outlineLevel="0" collapsed="false">
      <c r="A305" s="41" t="str">
        <f aca="false">IF(B305="","",ROW()-3)</f>
        <v/>
      </c>
      <c r="B305" s="42"/>
      <c r="G305" s="44"/>
      <c r="I305" s="44" t="n">
        <f aca="false">IF(G305="",0,G305*S305)</f>
        <v>0</v>
      </c>
      <c r="J305" s="44"/>
      <c r="K305" s="44" t="n">
        <f aca="false">IF(G305="",0,G305-I305-IF(J305="",0,J305))</f>
        <v>0</v>
      </c>
      <c r="L305" s="44" t="n">
        <f aca="false">IF(O305="",0,IFERROR(INDEX(Purchases!I:I,MATCH(O305*1,Purchases!A:A,0)),0))</f>
        <v>0</v>
      </c>
      <c r="M305" s="44" t="n">
        <f aca="false">IF(G305="",0,K305-L305)</f>
        <v>0</v>
      </c>
      <c r="N305" s="49" t="str">
        <f aca="false">IFERROR(IF(G305="","",M305/G305),"")</f>
        <v/>
      </c>
      <c r="S305" s="49" t="n">
        <f aca="false">IFERROR(VLOOKUP(H305,Settings!B14:C25,2,FALSE()),0)</f>
        <v>0</v>
      </c>
    </row>
    <row r="306" customFormat="false" ht="15" hidden="false" customHeight="false" outlineLevel="0" collapsed="false">
      <c r="A306" s="37" t="str">
        <f aca="false">IF(B306="","",ROW()-3)</f>
        <v/>
      </c>
      <c r="B306" s="38"/>
      <c r="C306" s="39"/>
      <c r="D306" s="39"/>
      <c r="E306" s="39"/>
      <c r="F306" s="39"/>
      <c r="G306" s="40"/>
      <c r="H306" s="39"/>
      <c r="I306" s="40" t="n">
        <f aca="false">IF(G306="",0,G306*S306)</f>
        <v>0</v>
      </c>
      <c r="J306" s="40"/>
      <c r="K306" s="40" t="n">
        <f aca="false">IF(G306="",0,G306-I306-IF(J306="",0,J306))</f>
        <v>0</v>
      </c>
      <c r="L306" s="40" t="n">
        <f aca="false">IF(O306="",0,IFERROR(INDEX(Purchases!I:I,MATCH(O306*1,Purchases!A:A,0)),0))</f>
        <v>0</v>
      </c>
      <c r="M306" s="40" t="n">
        <f aca="false">IF(G306="",0,K306-L306)</f>
        <v>0</v>
      </c>
      <c r="N306" s="48" t="str">
        <f aca="false">IFERROR(IF(G306="","",M306/G306),"")</f>
        <v/>
      </c>
      <c r="O306" s="39"/>
      <c r="P306" s="39"/>
      <c r="Q306" s="39"/>
      <c r="R306" s="39"/>
      <c r="S306" s="48" t="n">
        <f aca="false">IFERROR(VLOOKUP(H306,Settings!B14:C25,2,FALSE()),0)</f>
        <v>0</v>
      </c>
    </row>
    <row r="307" customFormat="false" ht="15" hidden="false" customHeight="false" outlineLevel="0" collapsed="false">
      <c r="A307" s="41" t="str">
        <f aca="false">IF(B307="","",ROW()-3)</f>
        <v/>
      </c>
      <c r="B307" s="42"/>
      <c r="G307" s="44"/>
      <c r="I307" s="44" t="n">
        <f aca="false">IF(G307="",0,G307*S307)</f>
        <v>0</v>
      </c>
      <c r="J307" s="44"/>
      <c r="K307" s="44" t="n">
        <f aca="false">IF(G307="",0,G307-I307-IF(J307="",0,J307))</f>
        <v>0</v>
      </c>
      <c r="L307" s="44" t="n">
        <f aca="false">IF(O307="",0,IFERROR(INDEX(Purchases!I:I,MATCH(O307*1,Purchases!A:A,0)),0))</f>
        <v>0</v>
      </c>
      <c r="M307" s="44" t="n">
        <f aca="false">IF(G307="",0,K307-L307)</f>
        <v>0</v>
      </c>
      <c r="N307" s="49" t="str">
        <f aca="false">IFERROR(IF(G307="","",M307/G307),"")</f>
        <v/>
      </c>
      <c r="S307" s="49" t="n">
        <f aca="false">IFERROR(VLOOKUP(H307,Settings!B14:C25,2,FALSE()),0)</f>
        <v>0</v>
      </c>
    </row>
    <row r="308" customFormat="false" ht="15" hidden="false" customHeight="false" outlineLevel="0" collapsed="false">
      <c r="A308" s="37" t="str">
        <f aca="false">IF(B308="","",ROW()-3)</f>
        <v/>
      </c>
      <c r="B308" s="38"/>
      <c r="C308" s="39"/>
      <c r="D308" s="39"/>
      <c r="E308" s="39"/>
      <c r="F308" s="39"/>
      <c r="G308" s="40"/>
      <c r="H308" s="39"/>
      <c r="I308" s="40" t="n">
        <f aca="false">IF(G308="",0,G308*S308)</f>
        <v>0</v>
      </c>
      <c r="J308" s="40"/>
      <c r="K308" s="40" t="n">
        <f aca="false">IF(G308="",0,G308-I308-IF(J308="",0,J308))</f>
        <v>0</v>
      </c>
      <c r="L308" s="40" t="n">
        <f aca="false">IF(O308="",0,IFERROR(INDEX(Purchases!I:I,MATCH(O308*1,Purchases!A:A,0)),0))</f>
        <v>0</v>
      </c>
      <c r="M308" s="40" t="n">
        <f aca="false">IF(G308="",0,K308-L308)</f>
        <v>0</v>
      </c>
      <c r="N308" s="48" t="str">
        <f aca="false">IFERROR(IF(G308="","",M308/G308),"")</f>
        <v/>
      </c>
      <c r="O308" s="39"/>
      <c r="P308" s="39"/>
      <c r="Q308" s="39"/>
      <c r="R308" s="39"/>
      <c r="S308" s="48" t="n">
        <f aca="false">IFERROR(VLOOKUP(H308,Settings!B14:C25,2,FALSE()),0)</f>
        <v>0</v>
      </c>
    </row>
    <row r="309" customFormat="false" ht="15" hidden="false" customHeight="false" outlineLevel="0" collapsed="false">
      <c r="A309" s="41" t="str">
        <f aca="false">IF(B309="","",ROW()-3)</f>
        <v/>
      </c>
      <c r="B309" s="42"/>
      <c r="G309" s="44"/>
      <c r="I309" s="44" t="n">
        <f aca="false">IF(G309="",0,G309*S309)</f>
        <v>0</v>
      </c>
      <c r="J309" s="44"/>
      <c r="K309" s="44" t="n">
        <f aca="false">IF(G309="",0,G309-I309-IF(J309="",0,J309))</f>
        <v>0</v>
      </c>
      <c r="L309" s="44" t="n">
        <f aca="false">IF(O309="",0,IFERROR(INDEX(Purchases!I:I,MATCH(O309*1,Purchases!A:A,0)),0))</f>
        <v>0</v>
      </c>
      <c r="M309" s="44" t="n">
        <f aca="false">IF(G309="",0,K309-L309)</f>
        <v>0</v>
      </c>
      <c r="N309" s="49" t="str">
        <f aca="false">IFERROR(IF(G309="","",M309/G309),"")</f>
        <v/>
      </c>
      <c r="S309" s="49" t="n">
        <f aca="false">IFERROR(VLOOKUP(H309,Settings!B14:C25,2,FALSE()),0)</f>
        <v>0</v>
      </c>
    </row>
    <row r="310" customFormat="false" ht="15" hidden="false" customHeight="false" outlineLevel="0" collapsed="false">
      <c r="A310" s="37" t="str">
        <f aca="false">IF(B310="","",ROW()-3)</f>
        <v/>
      </c>
      <c r="B310" s="38"/>
      <c r="C310" s="39"/>
      <c r="D310" s="39"/>
      <c r="E310" s="39"/>
      <c r="F310" s="39"/>
      <c r="G310" s="40"/>
      <c r="H310" s="39"/>
      <c r="I310" s="40" t="n">
        <f aca="false">IF(G310="",0,G310*S310)</f>
        <v>0</v>
      </c>
      <c r="J310" s="40"/>
      <c r="K310" s="40" t="n">
        <f aca="false">IF(G310="",0,G310-I310-IF(J310="",0,J310))</f>
        <v>0</v>
      </c>
      <c r="L310" s="40" t="n">
        <f aca="false">IF(O310="",0,IFERROR(INDEX(Purchases!I:I,MATCH(O310*1,Purchases!A:A,0)),0))</f>
        <v>0</v>
      </c>
      <c r="M310" s="40" t="n">
        <f aca="false">IF(G310="",0,K310-L310)</f>
        <v>0</v>
      </c>
      <c r="N310" s="48" t="str">
        <f aca="false">IFERROR(IF(G310="","",M310/G310),"")</f>
        <v/>
      </c>
      <c r="O310" s="39"/>
      <c r="P310" s="39"/>
      <c r="Q310" s="39"/>
      <c r="R310" s="39"/>
      <c r="S310" s="48" t="n">
        <f aca="false">IFERROR(VLOOKUP(H310,Settings!B14:C25,2,FALSE()),0)</f>
        <v>0</v>
      </c>
    </row>
    <row r="311" customFormat="false" ht="15" hidden="false" customHeight="false" outlineLevel="0" collapsed="false">
      <c r="A311" s="41" t="str">
        <f aca="false">IF(B311="","",ROW()-3)</f>
        <v/>
      </c>
      <c r="B311" s="42"/>
      <c r="G311" s="44"/>
      <c r="I311" s="44" t="n">
        <f aca="false">IF(G311="",0,G311*S311)</f>
        <v>0</v>
      </c>
      <c r="J311" s="44"/>
      <c r="K311" s="44" t="n">
        <f aca="false">IF(G311="",0,G311-I311-IF(J311="",0,J311))</f>
        <v>0</v>
      </c>
      <c r="L311" s="44" t="n">
        <f aca="false">IF(O311="",0,IFERROR(INDEX(Purchases!I:I,MATCH(O311*1,Purchases!A:A,0)),0))</f>
        <v>0</v>
      </c>
      <c r="M311" s="44" t="n">
        <f aca="false">IF(G311="",0,K311-L311)</f>
        <v>0</v>
      </c>
      <c r="N311" s="49" t="str">
        <f aca="false">IFERROR(IF(G311="","",M311/G311),"")</f>
        <v/>
      </c>
      <c r="S311" s="49" t="n">
        <f aca="false">IFERROR(VLOOKUP(H311,Settings!B14:C25,2,FALSE()),0)</f>
        <v>0</v>
      </c>
    </row>
    <row r="312" customFormat="false" ht="15" hidden="false" customHeight="false" outlineLevel="0" collapsed="false">
      <c r="A312" s="37" t="str">
        <f aca="false">IF(B312="","",ROW()-3)</f>
        <v/>
      </c>
      <c r="B312" s="38"/>
      <c r="C312" s="39"/>
      <c r="D312" s="39"/>
      <c r="E312" s="39"/>
      <c r="F312" s="39"/>
      <c r="G312" s="40"/>
      <c r="H312" s="39"/>
      <c r="I312" s="40" t="n">
        <f aca="false">IF(G312="",0,G312*S312)</f>
        <v>0</v>
      </c>
      <c r="J312" s="40"/>
      <c r="K312" s="40" t="n">
        <f aca="false">IF(G312="",0,G312-I312-IF(J312="",0,J312))</f>
        <v>0</v>
      </c>
      <c r="L312" s="40" t="n">
        <f aca="false">IF(O312="",0,IFERROR(INDEX(Purchases!I:I,MATCH(O312*1,Purchases!A:A,0)),0))</f>
        <v>0</v>
      </c>
      <c r="M312" s="40" t="n">
        <f aca="false">IF(G312="",0,K312-L312)</f>
        <v>0</v>
      </c>
      <c r="N312" s="48" t="str">
        <f aca="false">IFERROR(IF(G312="","",M312/G312),"")</f>
        <v/>
      </c>
      <c r="O312" s="39"/>
      <c r="P312" s="39"/>
      <c r="Q312" s="39"/>
      <c r="R312" s="39"/>
      <c r="S312" s="48" t="n">
        <f aca="false">IFERROR(VLOOKUP(H312,Settings!B14:C25,2,FALSE()),0)</f>
        <v>0</v>
      </c>
    </row>
    <row r="313" customFormat="false" ht="15" hidden="false" customHeight="false" outlineLevel="0" collapsed="false">
      <c r="A313" s="41" t="str">
        <f aca="false">IF(B313="","",ROW()-3)</f>
        <v/>
      </c>
      <c r="B313" s="42"/>
      <c r="G313" s="44"/>
      <c r="I313" s="44" t="n">
        <f aca="false">IF(G313="",0,G313*S313)</f>
        <v>0</v>
      </c>
      <c r="J313" s="44"/>
      <c r="K313" s="44" t="n">
        <f aca="false">IF(G313="",0,G313-I313-IF(J313="",0,J313))</f>
        <v>0</v>
      </c>
      <c r="L313" s="44" t="n">
        <f aca="false">IF(O313="",0,IFERROR(INDEX(Purchases!I:I,MATCH(O313*1,Purchases!A:A,0)),0))</f>
        <v>0</v>
      </c>
      <c r="M313" s="44" t="n">
        <f aca="false">IF(G313="",0,K313-L313)</f>
        <v>0</v>
      </c>
      <c r="N313" s="49" t="str">
        <f aca="false">IFERROR(IF(G313="","",M313/G313),"")</f>
        <v/>
      </c>
      <c r="S313" s="49" t="n">
        <f aca="false">IFERROR(VLOOKUP(H313,Settings!B14:C25,2,FALSE()),0)</f>
        <v>0</v>
      </c>
    </row>
    <row r="314" customFormat="false" ht="15" hidden="false" customHeight="false" outlineLevel="0" collapsed="false">
      <c r="A314" s="37" t="str">
        <f aca="false">IF(B314="","",ROW()-3)</f>
        <v/>
      </c>
      <c r="B314" s="38"/>
      <c r="C314" s="39"/>
      <c r="D314" s="39"/>
      <c r="E314" s="39"/>
      <c r="F314" s="39"/>
      <c r="G314" s="40"/>
      <c r="H314" s="39"/>
      <c r="I314" s="40" t="n">
        <f aca="false">IF(G314="",0,G314*S314)</f>
        <v>0</v>
      </c>
      <c r="J314" s="40"/>
      <c r="K314" s="40" t="n">
        <f aca="false">IF(G314="",0,G314-I314-IF(J314="",0,J314))</f>
        <v>0</v>
      </c>
      <c r="L314" s="40" t="n">
        <f aca="false">IF(O314="",0,IFERROR(INDEX(Purchases!I:I,MATCH(O314*1,Purchases!A:A,0)),0))</f>
        <v>0</v>
      </c>
      <c r="M314" s="40" t="n">
        <f aca="false">IF(G314="",0,K314-L314)</f>
        <v>0</v>
      </c>
      <c r="N314" s="48" t="str">
        <f aca="false">IFERROR(IF(G314="","",M314/G314),"")</f>
        <v/>
      </c>
      <c r="O314" s="39"/>
      <c r="P314" s="39"/>
      <c r="Q314" s="39"/>
      <c r="R314" s="39"/>
      <c r="S314" s="48" t="n">
        <f aca="false">IFERROR(VLOOKUP(H314,Settings!B14:C25,2,FALSE()),0)</f>
        <v>0</v>
      </c>
    </row>
    <row r="315" customFormat="false" ht="15" hidden="false" customHeight="false" outlineLevel="0" collapsed="false">
      <c r="A315" s="41" t="str">
        <f aca="false">IF(B315="","",ROW()-3)</f>
        <v/>
      </c>
      <c r="B315" s="42"/>
      <c r="G315" s="44"/>
      <c r="I315" s="44" t="n">
        <f aca="false">IF(G315="",0,G315*S315)</f>
        <v>0</v>
      </c>
      <c r="J315" s="44"/>
      <c r="K315" s="44" t="n">
        <f aca="false">IF(G315="",0,G315-I315-IF(J315="",0,J315))</f>
        <v>0</v>
      </c>
      <c r="L315" s="44" t="n">
        <f aca="false">IF(O315="",0,IFERROR(INDEX(Purchases!I:I,MATCH(O315*1,Purchases!A:A,0)),0))</f>
        <v>0</v>
      </c>
      <c r="M315" s="44" t="n">
        <f aca="false">IF(G315="",0,K315-L315)</f>
        <v>0</v>
      </c>
      <c r="N315" s="49" t="str">
        <f aca="false">IFERROR(IF(G315="","",M315/G315),"")</f>
        <v/>
      </c>
      <c r="S315" s="49" t="n">
        <f aca="false">IFERROR(VLOOKUP(H315,Settings!B14:C25,2,FALSE()),0)</f>
        <v>0</v>
      </c>
    </row>
    <row r="316" customFormat="false" ht="15" hidden="false" customHeight="false" outlineLevel="0" collapsed="false">
      <c r="A316" s="37" t="str">
        <f aca="false">IF(B316="","",ROW()-3)</f>
        <v/>
      </c>
      <c r="B316" s="38"/>
      <c r="C316" s="39"/>
      <c r="D316" s="39"/>
      <c r="E316" s="39"/>
      <c r="F316" s="39"/>
      <c r="G316" s="40"/>
      <c r="H316" s="39"/>
      <c r="I316" s="40" t="n">
        <f aca="false">IF(G316="",0,G316*S316)</f>
        <v>0</v>
      </c>
      <c r="J316" s="40"/>
      <c r="K316" s="40" t="n">
        <f aca="false">IF(G316="",0,G316-I316-IF(J316="",0,J316))</f>
        <v>0</v>
      </c>
      <c r="L316" s="40" t="n">
        <f aca="false">IF(O316="",0,IFERROR(INDEX(Purchases!I:I,MATCH(O316*1,Purchases!A:A,0)),0))</f>
        <v>0</v>
      </c>
      <c r="M316" s="40" t="n">
        <f aca="false">IF(G316="",0,K316-L316)</f>
        <v>0</v>
      </c>
      <c r="N316" s="48" t="str">
        <f aca="false">IFERROR(IF(G316="","",M316/G316),"")</f>
        <v/>
      </c>
      <c r="O316" s="39"/>
      <c r="P316" s="39"/>
      <c r="Q316" s="39"/>
      <c r="R316" s="39"/>
      <c r="S316" s="48" t="n">
        <f aca="false">IFERROR(VLOOKUP(H316,Settings!B14:C25,2,FALSE()),0)</f>
        <v>0</v>
      </c>
    </row>
    <row r="317" customFormat="false" ht="15" hidden="false" customHeight="false" outlineLevel="0" collapsed="false">
      <c r="A317" s="41" t="str">
        <f aca="false">IF(B317="","",ROW()-3)</f>
        <v/>
      </c>
      <c r="B317" s="42"/>
      <c r="G317" s="44"/>
      <c r="I317" s="44" t="n">
        <f aca="false">IF(G317="",0,G317*S317)</f>
        <v>0</v>
      </c>
      <c r="J317" s="44"/>
      <c r="K317" s="44" t="n">
        <f aca="false">IF(G317="",0,G317-I317-IF(J317="",0,J317))</f>
        <v>0</v>
      </c>
      <c r="L317" s="44" t="n">
        <f aca="false">IF(O317="",0,IFERROR(INDEX(Purchases!I:I,MATCH(O317*1,Purchases!A:A,0)),0))</f>
        <v>0</v>
      </c>
      <c r="M317" s="44" t="n">
        <f aca="false">IF(G317="",0,K317-L317)</f>
        <v>0</v>
      </c>
      <c r="N317" s="49" t="str">
        <f aca="false">IFERROR(IF(G317="","",M317/G317),"")</f>
        <v/>
      </c>
      <c r="S317" s="49" t="n">
        <f aca="false">IFERROR(VLOOKUP(H317,Settings!B14:C25,2,FALSE()),0)</f>
        <v>0</v>
      </c>
    </row>
    <row r="318" customFormat="false" ht="15" hidden="false" customHeight="false" outlineLevel="0" collapsed="false">
      <c r="A318" s="37" t="str">
        <f aca="false">IF(B318="","",ROW()-3)</f>
        <v/>
      </c>
      <c r="B318" s="38"/>
      <c r="C318" s="39"/>
      <c r="D318" s="39"/>
      <c r="E318" s="39"/>
      <c r="F318" s="39"/>
      <c r="G318" s="40"/>
      <c r="H318" s="39"/>
      <c r="I318" s="40" t="n">
        <f aca="false">IF(G318="",0,G318*S318)</f>
        <v>0</v>
      </c>
      <c r="J318" s="40"/>
      <c r="K318" s="40" t="n">
        <f aca="false">IF(G318="",0,G318-I318-IF(J318="",0,J318))</f>
        <v>0</v>
      </c>
      <c r="L318" s="40" t="n">
        <f aca="false">IF(O318="",0,IFERROR(INDEX(Purchases!I:I,MATCH(O318*1,Purchases!A:A,0)),0))</f>
        <v>0</v>
      </c>
      <c r="M318" s="40" t="n">
        <f aca="false">IF(G318="",0,K318-L318)</f>
        <v>0</v>
      </c>
      <c r="N318" s="48" t="str">
        <f aca="false">IFERROR(IF(G318="","",M318/G318),"")</f>
        <v/>
      </c>
      <c r="O318" s="39"/>
      <c r="P318" s="39"/>
      <c r="Q318" s="39"/>
      <c r="R318" s="39"/>
      <c r="S318" s="48" t="n">
        <f aca="false">IFERROR(VLOOKUP(H318,Settings!B14:C25,2,FALSE()),0)</f>
        <v>0</v>
      </c>
    </row>
    <row r="319" customFormat="false" ht="15" hidden="false" customHeight="false" outlineLevel="0" collapsed="false">
      <c r="A319" s="41" t="str">
        <f aca="false">IF(B319="","",ROW()-3)</f>
        <v/>
      </c>
      <c r="B319" s="42"/>
      <c r="G319" s="44"/>
      <c r="I319" s="44" t="n">
        <f aca="false">IF(G319="",0,G319*S319)</f>
        <v>0</v>
      </c>
      <c r="J319" s="44"/>
      <c r="K319" s="44" t="n">
        <f aca="false">IF(G319="",0,G319-I319-IF(J319="",0,J319))</f>
        <v>0</v>
      </c>
      <c r="L319" s="44" t="n">
        <f aca="false">IF(O319="",0,IFERROR(INDEX(Purchases!I:I,MATCH(O319*1,Purchases!A:A,0)),0))</f>
        <v>0</v>
      </c>
      <c r="M319" s="44" t="n">
        <f aca="false">IF(G319="",0,K319-L319)</f>
        <v>0</v>
      </c>
      <c r="N319" s="49" t="str">
        <f aca="false">IFERROR(IF(G319="","",M319/G319),"")</f>
        <v/>
      </c>
      <c r="S319" s="49" t="n">
        <f aca="false">IFERROR(VLOOKUP(H319,Settings!B14:C25,2,FALSE()),0)</f>
        <v>0</v>
      </c>
    </row>
    <row r="320" customFormat="false" ht="15" hidden="false" customHeight="false" outlineLevel="0" collapsed="false">
      <c r="A320" s="37" t="str">
        <f aca="false">IF(B320="","",ROW()-3)</f>
        <v/>
      </c>
      <c r="B320" s="38"/>
      <c r="C320" s="39"/>
      <c r="D320" s="39"/>
      <c r="E320" s="39"/>
      <c r="F320" s="39"/>
      <c r="G320" s="40"/>
      <c r="H320" s="39"/>
      <c r="I320" s="40" t="n">
        <f aca="false">IF(G320="",0,G320*S320)</f>
        <v>0</v>
      </c>
      <c r="J320" s="40"/>
      <c r="K320" s="40" t="n">
        <f aca="false">IF(G320="",0,G320-I320-IF(J320="",0,J320))</f>
        <v>0</v>
      </c>
      <c r="L320" s="40" t="n">
        <f aca="false">IF(O320="",0,IFERROR(INDEX(Purchases!I:I,MATCH(O320*1,Purchases!A:A,0)),0))</f>
        <v>0</v>
      </c>
      <c r="M320" s="40" t="n">
        <f aca="false">IF(G320="",0,K320-L320)</f>
        <v>0</v>
      </c>
      <c r="N320" s="48" t="str">
        <f aca="false">IFERROR(IF(G320="","",M320/G320),"")</f>
        <v/>
      </c>
      <c r="O320" s="39"/>
      <c r="P320" s="39"/>
      <c r="Q320" s="39"/>
      <c r="R320" s="39"/>
      <c r="S320" s="48" t="n">
        <f aca="false">IFERROR(VLOOKUP(H320,Settings!B14:C25,2,FALSE()),0)</f>
        <v>0</v>
      </c>
    </row>
    <row r="321" customFormat="false" ht="15" hidden="false" customHeight="false" outlineLevel="0" collapsed="false">
      <c r="A321" s="41" t="str">
        <f aca="false">IF(B321="","",ROW()-3)</f>
        <v/>
      </c>
      <c r="B321" s="42"/>
      <c r="G321" s="44"/>
      <c r="I321" s="44" t="n">
        <f aca="false">IF(G321="",0,G321*S321)</f>
        <v>0</v>
      </c>
      <c r="J321" s="44"/>
      <c r="K321" s="44" t="n">
        <f aca="false">IF(G321="",0,G321-I321-IF(J321="",0,J321))</f>
        <v>0</v>
      </c>
      <c r="L321" s="44" t="n">
        <f aca="false">IF(O321="",0,IFERROR(INDEX(Purchases!I:I,MATCH(O321*1,Purchases!A:A,0)),0))</f>
        <v>0</v>
      </c>
      <c r="M321" s="44" t="n">
        <f aca="false">IF(G321="",0,K321-L321)</f>
        <v>0</v>
      </c>
      <c r="N321" s="49" t="str">
        <f aca="false">IFERROR(IF(G321="","",M321/G321),"")</f>
        <v/>
      </c>
      <c r="S321" s="49" t="n">
        <f aca="false">IFERROR(VLOOKUP(H321,Settings!B14:C25,2,FALSE()),0)</f>
        <v>0</v>
      </c>
    </row>
    <row r="322" customFormat="false" ht="15" hidden="false" customHeight="false" outlineLevel="0" collapsed="false">
      <c r="A322" s="37" t="str">
        <f aca="false">IF(B322="","",ROW()-3)</f>
        <v/>
      </c>
      <c r="B322" s="38"/>
      <c r="C322" s="39"/>
      <c r="D322" s="39"/>
      <c r="E322" s="39"/>
      <c r="F322" s="39"/>
      <c r="G322" s="40"/>
      <c r="H322" s="39"/>
      <c r="I322" s="40" t="n">
        <f aca="false">IF(G322="",0,G322*S322)</f>
        <v>0</v>
      </c>
      <c r="J322" s="40"/>
      <c r="K322" s="40" t="n">
        <f aca="false">IF(G322="",0,G322-I322-IF(J322="",0,J322))</f>
        <v>0</v>
      </c>
      <c r="L322" s="40" t="n">
        <f aca="false">IF(O322="",0,IFERROR(INDEX(Purchases!I:I,MATCH(O322*1,Purchases!A:A,0)),0))</f>
        <v>0</v>
      </c>
      <c r="M322" s="40" t="n">
        <f aca="false">IF(G322="",0,K322-L322)</f>
        <v>0</v>
      </c>
      <c r="N322" s="48" t="str">
        <f aca="false">IFERROR(IF(G322="","",M322/G322),"")</f>
        <v/>
      </c>
      <c r="O322" s="39"/>
      <c r="P322" s="39"/>
      <c r="Q322" s="39"/>
      <c r="R322" s="39"/>
      <c r="S322" s="48" t="n">
        <f aca="false">IFERROR(VLOOKUP(H322,Settings!B14:C25,2,FALSE()),0)</f>
        <v>0</v>
      </c>
    </row>
    <row r="323" customFormat="false" ht="15" hidden="false" customHeight="false" outlineLevel="0" collapsed="false">
      <c r="A323" s="41" t="str">
        <f aca="false">IF(B323="","",ROW()-3)</f>
        <v/>
      </c>
      <c r="B323" s="42"/>
      <c r="G323" s="44"/>
      <c r="I323" s="44" t="n">
        <f aca="false">IF(G323="",0,G323*S323)</f>
        <v>0</v>
      </c>
      <c r="J323" s="44"/>
      <c r="K323" s="44" t="n">
        <f aca="false">IF(G323="",0,G323-I323-IF(J323="",0,J323))</f>
        <v>0</v>
      </c>
      <c r="L323" s="44" t="n">
        <f aca="false">IF(O323="",0,IFERROR(INDEX(Purchases!I:I,MATCH(O323*1,Purchases!A:A,0)),0))</f>
        <v>0</v>
      </c>
      <c r="M323" s="44" t="n">
        <f aca="false">IF(G323="",0,K323-L323)</f>
        <v>0</v>
      </c>
      <c r="N323" s="49" t="str">
        <f aca="false">IFERROR(IF(G323="","",M323/G323),"")</f>
        <v/>
      </c>
      <c r="S323" s="49" t="n">
        <f aca="false">IFERROR(VLOOKUP(H323,Settings!B14:C25,2,FALSE()),0)</f>
        <v>0</v>
      </c>
    </row>
    <row r="324" customFormat="false" ht="15" hidden="false" customHeight="false" outlineLevel="0" collapsed="false">
      <c r="A324" s="37" t="str">
        <f aca="false">IF(B324="","",ROW()-3)</f>
        <v/>
      </c>
      <c r="B324" s="38"/>
      <c r="C324" s="39"/>
      <c r="D324" s="39"/>
      <c r="E324" s="39"/>
      <c r="F324" s="39"/>
      <c r="G324" s="40"/>
      <c r="H324" s="39"/>
      <c r="I324" s="40" t="n">
        <f aca="false">IF(G324="",0,G324*S324)</f>
        <v>0</v>
      </c>
      <c r="J324" s="40"/>
      <c r="K324" s="40" t="n">
        <f aca="false">IF(G324="",0,G324-I324-IF(J324="",0,J324))</f>
        <v>0</v>
      </c>
      <c r="L324" s="40" t="n">
        <f aca="false">IF(O324="",0,IFERROR(INDEX(Purchases!I:I,MATCH(O324*1,Purchases!A:A,0)),0))</f>
        <v>0</v>
      </c>
      <c r="M324" s="40" t="n">
        <f aca="false">IF(G324="",0,K324-L324)</f>
        <v>0</v>
      </c>
      <c r="N324" s="48" t="str">
        <f aca="false">IFERROR(IF(G324="","",M324/G324),"")</f>
        <v/>
      </c>
      <c r="O324" s="39"/>
      <c r="P324" s="39"/>
      <c r="Q324" s="39"/>
      <c r="R324" s="39"/>
      <c r="S324" s="48" t="n">
        <f aca="false">IFERROR(VLOOKUP(H324,Settings!B14:C25,2,FALSE()),0)</f>
        <v>0</v>
      </c>
    </row>
    <row r="325" customFormat="false" ht="15" hidden="false" customHeight="false" outlineLevel="0" collapsed="false">
      <c r="A325" s="41" t="str">
        <f aca="false">IF(B325="","",ROW()-3)</f>
        <v/>
      </c>
      <c r="B325" s="42"/>
      <c r="G325" s="44"/>
      <c r="I325" s="44" t="n">
        <f aca="false">IF(G325="",0,G325*S325)</f>
        <v>0</v>
      </c>
      <c r="J325" s="44"/>
      <c r="K325" s="44" t="n">
        <f aca="false">IF(G325="",0,G325-I325-IF(J325="",0,J325))</f>
        <v>0</v>
      </c>
      <c r="L325" s="44" t="n">
        <f aca="false">IF(O325="",0,IFERROR(INDEX(Purchases!I:I,MATCH(O325*1,Purchases!A:A,0)),0))</f>
        <v>0</v>
      </c>
      <c r="M325" s="44" t="n">
        <f aca="false">IF(G325="",0,K325-L325)</f>
        <v>0</v>
      </c>
      <c r="N325" s="49" t="str">
        <f aca="false">IFERROR(IF(G325="","",M325/G325),"")</f>
        <v/>
      </c>
      <c r="S325" s="49" t="n">
        <f aca="false">IFERROR(VLOOKUP(H325,Settings!B14:C25,2,FALSE()),0)</f>
        <v>0</v>
      </c>
    </row>
    <row r="326" customFormat="false" ht="15" hidden="false" customHeight="false" outlineLevel="0" collapsed="false">
      <c r="A326" s="37" t="str">
        <f aca="false">IF(B326="","",ROW()-3)</f>
        <v/>
      </c>
      <c r="B326" s="38"/>
      <c r="C326" s="39"/>
      <c r="D326" s="39"/>
      <c r="E326" s="39"/>
      <c r="F326" s="39"/>
      <c r="G326" s="40"/>
      <c r="H326" s="39"/>
      <c r="I326" s="40" t="n">
        <f aca="false">IF(G326="",0,G326*S326)</f>
        <v>0</v>
      </c>
      <c r="J326" s="40"/>
      <c r="K326" s="40" t="n">
        <f aca="false">IF(G326="",0,G326-I326-IF(J326="",0,J326))</f>
        <v>0</v>
      </c>
      <c r="L326" s="40" t="n">
        <f aca="false">IF(O326="",0,IFERROR(INDEX(Purchases!I:I,MATCH(O326*1,Purchases!A:A,0)),0))</f>
        <v>0</v>
      </c>
      <c r="M326" s="40" t="n">
        <f aca="false">IF(G326="",0,K326-L326)</f>
        <v>0</v>
      </c>
      <c r="N326" s="48" t="str">
        <f aca="false">IFERROR(IF(G326="","",M326/G326),"")</f>
        <v/>
      </c>
      <c r="O326" s="39"/>
      <c r="P326" s="39"/>
      <c r="Q326" s="39"/>
      <c r="R326" s="39"/>
      <c r="S326" s="48" t="n">
        <f aca="false">IFERROR(VLOOKUP(H326,Settings!B14:C25,2,FALSE()),0)</f>
        <v>0</v>
      </c>
    </row>
    <row r="327" customFormat="false" ht="15" hidden="false" customHeight="false" outlineLevel="0" collapsed="false">
      <c r="A327" s="41" t="str">
        <f aca="false">IF(B327="","",ROW()-3)</f>
        <v/>
      </c>
      <c r="B327" s="42"/>
      <c r="G327" s="44"/>
      <c r="I327" s="44" t="n">
        <f aca="false">IF(G327="",0,G327*S327)</f>
        <v>0</v>
      </c>
      <c r="J327" s="44"/>
      <c r="K327" s="44" t="n">
        <f aca="false">IF(G327="",0,G327-I327-IF(J327="",0,J327))</f>
        <v>0</v>
      </c>
      <c r="L327" s="44" t="n">
        <f aca="false">IF(O327="",0,IFERROR(INDEX(Purchases!I:I,MATCH(O327*1,Purchases!A:A,0)),0))</f>
        <v>0</v>
      </c>
      <c r="M327" s="44" t="n">
        <f aca="false">IF(G327="",0,K327-L327)</f>
        <v>0</v>
      </c>
      <c r="N327" s="49" t="str">
        <f aca="false">IFERROR(IF(G327="","",M327/G327),"")</f>
        <v/>
      </c>
      <c r="S327" s="49" t="n">
        <f aca="false">IFERROR(VLOOKUP(H327,Settings!B14:C25,2,FALSE()),0)</f>
        <v>0</v>
      </c>
    </row>
    <row r="328" customFormat="false" ht="15" hidden="false" customHeight="false" outlineLevel="0" collapsed="false">
      <c r="A328" s="37" t="str">
        <f aca="false">IF(B328="","",ROW()-3)</f>
        <v/>
      </c>
      <c r="B328" s="38"/>
      <c r="C328" s="39"/>
      <c r="D328" s="39"/>
      <c r="E328" s="39"/>
      <c r="F328" s="39"/>
      <c r="G328" s="40"/>
      <c r="H328" s="39"/>
      <c r="I328" s="40" t="n">
        <f aca="false">IF(G328="",0,G328*S328)</f>
        <v>0</v>
      </c>
      <c r="J328" s="40"/>
      <c r="K328" s="40" t="n">
        <f aca="false">IF(G328="",0,G328-I328-IF(J328="",0,J328))</f>
        <v>0</v>
      </c>
      <c r="L328" s="40" t="n">
        <f aca="false">IF(O328="",0,IFERROR(INDEX(Purchases!I:I,MATCH(O328*1,Purchases!A:A,0)),0))</f>
        <v>0</v>
      </c>
      <c r="M328" s="40" t="n">
        <f aca="false">IF(G328="",0,K328-L328)</f>
        <v>0</v>
      </c>
      <c r="N328" s="48" t="str">
        <f aca="false">IFERROR(IF(G328="","",M328/G328),"")</f>
        <v/>
      </c>
      <c r="O328" s="39"/>
      <c r="P328" s="39"/>
      <c r="Q328" s="39"/>
      <c r="R328" s="39"/>
      <c r="S328" s="48" t="n">
        <f aca="false">IFERROR(VLOOKUP(H328,Settings!B14:C25,2,FALSE()),0)</f>
        <v>0</v>
      </c>
    </row>
    <row r="329" customFormat="false" ht="15" hidden="false" customHeight="false" outlineLevel="0" collapsed="false">
      <c r="A329" s="41" t="str">
        <f aca="false">IF(B329="","",ROW()-3)</f>
        <v/>
      </c>
      <c r="B329" s="42"/>
      <c r="G329" s="44"/>
      <c r="I329" s="44" t="n">
        <f aca="false">IF(G329="",0,G329*S329)</f>
        <v>0</v>
      </c>
      <c r="J329" s="44"/>
      <c r="K329" s="44" t="n">
        <f aca="false">IF(G329="",0,G329-I329-IF(J329="",0,J329))</f>
        <v>0</v>
      </c>
      <c r="L329" s="44" t="n">
        <f aca="false">IF(O329="",0,IFERROR(INDEX(Purchases!I:I,MATCH(O329*1,Purchases!A:A,0)),0))</f>
        <v>0</v>
      </c>
      <c r="M329" s="44" t="n">
        <f aca="false">IF(G329="",0,K329-L329)</f>
        <v>0</v>
      </c>
      <c r="N329" s="49" t="str">
        <f aca="false">IFERROR(IF(G329="","",M329/G329),"")</f>
        <v/>
      </c>
      <c r="S329" s="49" t="n">
        <f aca="false">IFERROR(VLOOKUP(H329,Settings!B14:C25,2,FALSE()),0)</f>
        <v>0</v>
      </c>
    </row>
    <row r="330" customFormat="false" ht="15" hidden="false" customHeight="false" outlineLevel="0" collapsed="false">
      <c r="A330" s="37" t="str">
        <f aca="false">IF(B330="","",ROW()-3)</f>
        <v/>
      </c>
      <c r="B330" s="38"/>
      <c r="C330" s="39"/>
      <c r="D330" s="39"/>
      <c r="E330" s="39"/>
      <c r="F330" s="39"/>
      <c r="G330" s="40"/>
      <c r="H330" s="39"/>
      <c r="I330" s="40" t="n">
        <f aca="false">IF(G330="",0,G330*S330)</f>
        <v>0</v>
      </c>
      <c r="J330" s="40"/>
      <c r="K330" s="40" t="n">
        <f aca="false">IF(G330="",0,G330-I330-IF(J330="",0,J330))</f>
        <v>0</v>
      </c>
      <c r="L330" s="40" t="n">
        <f aca="false">IF(O330="",0,IFERROR(INDEX(Purchases!I:I,MATCH(O330*1,Purchases!A:A,0)),0))</f>
        <v>0</v>
      </c>
      <c r="M330" s="40" t="n">
        <f aca="false">IF(G330="",0,K330-L330)</f>
        <v>0</v>
      </c>
      <c r="N330" s="48" t="str">
        <f aca="false">IFERROR(IF(G330="","",M330/G330),"")</f>
        <v/>
      </c>
      <c r="O330" s="39"/>
      <c r="P330" s="39"/>
      <c r="Q330" s="39"/>
      <c r="R330" s="39"/>
      <c r="S330" s="48" t="n">
        <f aca="false">IFERROR(VLOOKUP(H330,Settings!B14:C25,2,FALSE()),0)</f>
        <v>0</v>
      </c>
    </row>
    <row r="331" customFormat="false" ht="15" hidden="false" customHeight="false" outlineLevel="0" collapsed="false">
      <c r="A331" s="41" t="str">
        <f aca="false">IF(B331="","",ROW()-3)</f>
        <v/>
      </c>
      <c r="B331" s="42"/>
      <c r="G331" s="44"/>
      <c r="I331" s="44" t="n">
        <f aca="false">IF(G331="",0,G331*S331)</f>
        <v>0</v>
      </c>
      <c r="J331" s="44"/>
      <c r="K331" s="44" t="n">
        <f aca="false">IF(G331="",0,G331-I331-IF(J331="",0,J331))</f>
        <v>0</v>
      </c>
      <c r="L331" s="44" t="n">
        <f aca="false">IF(O331="",0,IFERROR(INDEX(Purchases!I:I,MATCH(O331*1,Purchases!A:A,0)),0))</f>
        <v>0</v>
      </c>
      <c r="M331" s="44" t="n">
        <f aca="false">IF(G331="",0,K331-L331)</f>
        <v>0</v>
      </c>
      <c r="N331" s="49" t="str">
        <f aca="false">IFERROR(IF(G331="","",M331/G331),"")</f>
        <v/>
      </c>
      <c r="S331" s="49" t="n">
        <f aca="false">IFERROR(VLOOKUP(H331,Settings!B14:C25,2,FALSE()),0)</f>
        <v>0</v>
      </c>
    </row>
    <row r="332" customFormat="false" ht="15" hidden="false" customHeight="false" outlineLevel="0" collapsed="false">
      <c r="A332" s="37" t="str">
        <f aca="false">IF(B332="","",ROW()-3)</f>
        <v/>
      </c>
      <c r="B332" s="38"/>
      <c r="C332" s="39"/>
      <c r="D332" s="39"/>
      <c r="E332" s="39"/>
      <c r="F332" s="39"/>
      <c r="G332" s="40"/>
      <c r="H332" s="39"/>
      <c r="I332" s="40" t="n">
        <f aca="false">IF(G332="",0,G332*S332)</f>
        <v>0</v>
      </c>
      <c r="J332" s="40"/>
      <c r="K332" s="40" t="n">
        <f aca="false">IF(G332="",0,G332-I332-IF(J332="",0,J332))</f>
        <v>0</v>
      </c>
      <c r="L332" s="40" t="n">
        <f aca="false">IF(O332="",0,IFERROR(INDEX(Purchases!I:I,MATCH(O332*1,Purchases!A:A,0)),0))</f>
        <v>0</v>
      </c>
      <c r="M332" s="40" t="n">
        <f aca="false">IF(G332="",0,K332-L332)</f>
        <v>0</v>
      </c>
      <c r="N332" s="48" t="str">
        <f aca="false">IFERROR(IF(G332="","",M332/G332),"")</f>
        <v/>
      </c>
      <c r="O332" s="39"/>
      <c r="P332" s="39"/>
      <c r="Q332" s="39"/>
      <c r="R332" s="39"/>
      <c r="S332" s="48" t="n">
        <f aca="false">IFERROR(VLOOKUP(H332,Settings!B14:C25,2,FALSE()),0)</f>
        <v>0</v>
      </c>
    </row>
    <row r="333" customFormat="false" ht="15" hidden="false" customHeight="false" outlineLevel="0" collapsed="false">
      <c r="A333" s="41" t="str">
        <f aca="false">IF(B333="","",ROW()-3)</f>
        <v/>
      </c>
      <c r="B333" s="42"/>
      <c r="G333" s="44"/>
      <c r="I333" s="44" t="n">
        <f aca="false">IF(G333="",0,G333*S333)</f>
        <v>0</v>
      </c>
      <c r="J333" s="44"/>
      <c r="K333" s="44" t="n">
        <f aca="false">IF(G333="",0,G333-I333-IF(J333="",0,J333))</f>
        <v>0</v>
      </c>
      <c r="L333" s="44" t="n">
        <f aca="false">IF(O333="",0,IFERROR(INDEX(Purchases!I:I,MATCH(O333*1,Purchases!A:A,0)),0))</f>
        <v>0</v>
      </c>
      <c r="M333" s="44" t="n">
        <f aca="false">IF(G333="",0,K333-L333)</f>
        <v>0</v>
      </c>
      <c r="N333" s="49" t="str">
        <f aca="false">IFERROR(IF(G333="","",M333/G333),"")</f>
        <v/>
      </c>
      <c r="S333" s="49" t="n">
        <f aca="false">IFERROR(VLOOKUP(H333,Settings!B14:C25,2,FALSE()),0)</f>
        <v>0</v>
      </c>
    </row>
    <row r="334" customFormat="false" ht="15" hidden="false" customHeight="false" outlineLevel="0" collapsed="false">
      <c r="A334" s="37" t="str">
        <f aca="false">IF(B334="","",ROW()-3)</f>
        <v/>
      </c>
      <c r="B334" s="38"/>
      <c r="C334" s="39"/>
      <c r="D334" s="39"/>
      <c r="E334" s="39"/>
      <c r="F334" s="39"/>
      <c r="G334" s="40"/>
      <c r="H334" s="39"/>
      <c r="I334" s="40" t="n">
        <f aca="false">IF(G334="",0,G334*S334)</f>
        <v>0</v>
      </c>
      <c r="J334" s="40"/>
      <c r="K334" s="40" t="n">
        <f aca="false">IF(G334="",0,G334-I334-IF(J334="",0,J334))</f>
        <v>0</v>
      </c>
      <c r="L334" s="40" t="n">
        <f aca="false">IF(O334="",0,IFERROR(INDEX(Purchases!I:I,MATCH(O334*1,Purchases!A:A,0)),0))</f>
        <v>0</v>
      </c>
      <c r="M334" s="40" t="n">
        <f aca="false">IF(G334="",0,K334-L334)</f>
        <v>0</v>
      </c>
      <c r="N334" s="48" t="str">
        <f aca="false">IFERROR(IF(G334="","",M334/G334),"")</f>
        <v/>
      </c>
      <c r="O334" s="39"/>
      <c r="P334" s="39"/>
      <c r="Q334" s="39"/>
      <c r="R334" s="39"/>
      <c r="S334" s="48" t="n">
        <f aca="false">IFERROR(VLOOKUP(H334,Settings!B14:C25,2,FALSE()),0)</f>
        <v>0</v>
      </c>
    </row>
    <row r="335" customFormat="false" ht="15" hidden="false" customHeight="false" outlineLevel="0" collapsed="false">
      <c r="A335" s="41" t="str">
        <f aca="false">IF(B335="","",ROW()-3)</f>
        <v/>
      </c>
      <c r="B335" s="42"/>
      <c r="G335" s="44"/>
      <c r="I335" s="44" t="n">
        <f aca="false">IF(G335="",0,G335*S335)</f>
        <v>0</v>
      </c>
      <c r="J335" s="44"/>
      <c r="K335" s="44" t="n">
        <f aca="false">IF(G335="",0,G335-I335-IF(J335="",0,J335))</f>
        <v>0</v>
      </c>
      <c r="L335" s="44" t="n">
        <f aca="false">IF(O335="",0,IFERROR(INDEX(Purchases!I:I,MATCH(O335*1,Purchases!A:A,0)),0))</f>
        <v>0</v>
      </c>
      <c r="M335" s="44" t="n">
        <f aca="false">IF(G335="",0,K335-L335)</f>
        <v>0</v>
      </c>
      <c r="N335" s="49" t="str">
        <f aca="false">IFERROR(IF(G335="","",M335/G335),"")</f>
        <v/>
      </c>
      <c r="S335" s="49" t="n">
        <f aca="false">IFERROR(VLOOKUP(H335,Settings!B14:C25,2,FALSE()),0)</f>
        <v>0</v>
      </c>
    </row>
    <row r="336" customFormat="false" ht="15" hidden="false" customHeight="false" outlineLevel="0" collapsed="false">
      <c r="A336" s="37" t="str">
        <f aca="false">IF(B336="","",ROW()-3)</f>
        <v/>
      </c>
      <c r="B336" s="38"/>
      <c r="C336" s="39"/>
      <c r="D336" s="39"/>
      <c r="E336" s="39"/>
      <c r="F336" s="39"/>
      <c r="G336" s="40"/>
      <c r="H336" s="39"/>
      <c r="I336" s="40" t="n">
        <f aca="false">IF(G336="",0,G336*S336)</f>
        <v>0</v>
      </c>
      <c r="J336" s="40"/>
      <c r="K336" s="40" t="n">
        <f aca="false">IF(G336="",0,G336-I336-IF(J336="",0,J336))</f>
        <v>0</v>
      </c>
      <c r="L336" s="40" t="n">
        <f aca="false">IF(O336="",0,IFERROR(INDEX(Purchases!I:I,MATCH(O336*1,Purchases!A:A,0)),0))</f>
        <v>0</v>
      </c>
      <c r="M336" s="40" t="n">
        <f aca="false">IF(G336="",0,K336-L336)</f>
        <v>0</v>
      </c>
      <c r="N336" s="48" t="str">
        <f aca="false">IFERROR(IF(G336="","",M336/G336),"")</f>
        <v/>
      </c>
      <c r="O336" s="39"/>
      <c r="P336" s="39"/>
      <c r="Q336" s="39"/>
      <c r="R336" s="39"/>
      <c r="S336" s="48" t="n">
        <f aca="false">IFERROR(VLOOKUP(H336,Settings!B14:C25,2,FALSE()),0)</f>
        <v>0</v>
      </c>
    </row>
    <row r="337" customFormat="false" ht="15" hidden="false" customHeight="false" outlineLevel="0" collapsed="false">
      <c r="A337" s="41" t="str">
        <f aca="false">IF(B337="","",ROW()-3)</f>
        <v/>
      </c>
      <c r="B337" s="42"/>
      <c r="G337" s="44"/>
      <c r="I337" s="44" t="n">
        <f aca="false">IF(G337="",0,G337*S337)</f>
        <v>0</v>
      </c>
      <c r="J337" s="44"/>
      <c r="K337" s="44" t="n">
        <f aca="false">IF(G337="",0,G337-I337-IF(J337="",0,J337))</f>
        <v>0</v>
      </c>
      <c r="L337" s="44" t="n">
        <f aca="false">IF(O337="",0,IFERROR(INDEX(Purchases!I:I,MATCH(O337*1,Purchases!A:A,0)),0))</f>
        <v>0</v>
      </c>
      <c r="M337" s="44" t="n">
        <f aca="false">IF(G337="",0,K337-L337)</f>
        <v>0</v>
      </c>
      <c r="N337" s="49" t="str">
        <f aca="false">IFERROR(IF(G337="","",M337/G337),"")</f>
        <v/>
      </c>
      <c r="S337" s="49" t="n">
        <f aca="false">IFERROR(VLOOKUP(H337,Settings!B14:C25,2,FALSE()),0)</f>
        <v>0</v>
      </c>
    </row>
    <row r="338" customFormat="false" ht="15" hidden="false" customHeight="false" outlineLevel="0" collapsed="false">
      <c r="A338" s="37" t="str">
        <f aca="false">IF(B338="","",ROW()-3)</f>
        <v/>
      </c>
      <c r="B338" s="38"/>
      <c r="C338" s="39"/>
      <c r="D338" s="39"/>
      <c r="E338" s="39"/>
      <c r="F338" s="39"/>
      <c r="G338" s="40"/>
      <c r="H338" s="39"/>
      <c r="I338" s="40" t="n">
        <f aca="false">IF(G338="",0,G338*S338)</f>
        <v>0</v>
      </c>
      <c r="J338" s="40"/>
      <c r="K338" s="40" t="n">
        <f aca="false">IF(G338="",0,G338-I338-IF(J338="",0,J338))</f>
        <v>0</v>
      </c>
      <c r="L338" s="40" t="n">
        <f aca="false">IF(O338="",0,IFERROR(INDEX(Purchases!I:I,MATCH(O338*1,Purchases!A:A,0)),0))</f>
        <v>0</v>
      </c>
      <c r="M338" s="40" t="n">
        <f aca="false">IF(G338="",0,K338-L338)</f>
        <v>0</v>
      </c>
      <c r="N338" s="48" t="str">
        <f aca="false">IFERROR(IF(G338="","",M338/G338),"")</f>
        <v/>
      </c>
      <c r="O338" s="39"/>
      <c r="P338" s="39"/>
      <c r="Q338" s="39"/>
      <c r="R338" s="39"/>
      <c r="S338" s="48" t="n">
        <f aca="false">IFERROR(VLOOKUP(H338,Settings!B14:C25,2,FALSE()),0)</f>
        <v>0</v>
      </c>
    </row>
    <row r="339" customFormat="false" ht="15" hidden="false" customHeight="false" outlineLevel="0" collapsed="false">
      <c r="A339" s="41" t="str">
        <f aca="false">IF(B339="","",ROW()-3)</f>
        <v/>
      </c>
      <c r="B339" s="42"/>
      <c r="G339" s="44"/>
      <c r="I339" s="44" t="n">
        <f aca="false">IF(G339="",0,G339*S339)</f>
        <v>0</v>
      </c>
      <c r="J339" s="44"/>
      <c r="K339" s="44" t="n">
        <f aca="false">IF(G339="",0,G339-I339-IF(J339="",0,J339))</f>
        <v>0</v>
      </c>
      <c r="L339" s="44" t="n">
        <f aca="false">IF(O339="",0,IFERROR(INDEX(Purchases!I:I,MATCH(O339*1,Purchases!A:A,0)),0))</f>
        <v>0</v>
      </c>
      <c r="M339" s="44" t="n">
        <f aca="false">IF(G339="",0,K339-L339)</f>
        <v>0</v>
      </c>
      <c r="N339" s="49" t="str">
        <f aca="false">IFERROR(IF(G339="","",M339/G339),"")</f>
        <v/>
      </c>
      <c r="S339" s="49" t="n">
        <f aca="false">IFERROR(VLOOKUP(H339,Settings!B14:C25,2,FALSE()),0)</f>
        <v>0</v>
      </c>
    </row>
    <row r="340" customFormat="false" ht="15" hidden="false" customHeight="false" outlineLevel="0" collapsed="false">
      <c r="A340" s="37" t="str">
        <f aca="false">IF(B340="","",ROW()-3)</f>
        <v/>
      </c>
      <c r="B340" s="38"/>
      <c r="C340" s="39"/>
      <c r="D340" s="39"/>
      <c r="E340" s="39"/>
      <c r="F340" s="39"/>
      <c r="G340" s="40"/>
      <c r="H340" s="39"/>
      <c r="I340" s="40" t="n">
        <f aca="false">IF(G340="",0,G340*S340)</f>
        <v>0</v>
      </c>
      <c r="J340" s="40"/>
      <c r="K340" s="40" t="n">
        <f aca="false">IF(G340="",0,G340-I340-IF(J340="",0,J340))</f>
        <v>0</v>
      </c>
      <c r="L340" s="40" t="n">
        <f aca="false">IF(O340="",0,IFERROR(INDEX(Purchases!I:I,MATCH(O340*1,Purchases!A:A,0)),0))</f>
        <v>0</v>
      </c>
      <c r="M340" s="40" t="n">
        <f aca="false">IF(G340="",0,K340-L340)</f>
        <v>0</v>
      </c>
      <c r="N340" s="48" t="str">
        <f aca="false">IFERROR(IF(G340="","",M340/G340),"")</f>
        <v/>
      </c>
      <c r="O340" s="39"/>
      <c r="P340" s="39"/>
      <c r="Q340" s="39"/>
      <c r="R340" s="39"/>
      <c r="S340" s="48" t="n">
        <f aca="false">IFERROR(VLOOKUP(H340,Settings!B14:C25,2,FALSE()),0)</f>
        <v>0</v>
      </c>
    </row>
    <row r="341" customFormat="false" ht="15" hidden="false" customHeight="false" outlineLevel="0" collapsed="false">
      <c r="A341" s="41" t="str">
        <f aca="false">IF(B341="","",ROW()-3)</f>
        <v/>
      </c>
      <c r="B341" s="42"/>
      <c r="G341" s="44"/>
      <c r="I341" s="44" t="n">
        <f aca="false">IF(G341="",0,G341*S341)</f>
        <v>0</v>
      </c>
      <c r="J341" s="44"/>
      <c r="K341" s="44" t="n">
        <f aca="false">IF(G341="",0,G341-I341-IF(J341="",0,J341))</f>
        <v>0</v>
      </c>
      <c r="L341" s="44" t="n">
        <f aca="false">IF(O341="",0,IFERROR(INDEX(Purchases!I:I,MATCH(O341*1,Purchases!A:A,0)),0))</f>
        <v>0</v>
      </c>
      <c r="M341" s="44" t="n">
        <f aca="false">IF(G341="",0,K341-L341)</f>
        <v>0</v>
      </c>
      <c r="N341" s="49" t="str">
        <f aca="false">IFERROR(IF(G341="","",M341/G341),"")</f>
        <v/>
      </c>
      <c r="S341" s="49" t="n">
        <f aca="false">IFERROR(VLOOKUP(H341,Settings!B14:C25,2,FALSE()),0)</f>
        <v>0</v>
      </c>
    </row>
    <row r="342" customFormat="false" ht="15" hidden="false" customHeight="false" outlineLevel="0" collapsed="false">
      <c r="A342" s="37" t="str">
        <f aca="false">IF(B342="","",ROW()-3)</f>
        <v/>
      </c>
      <c r="B342" s="38"/>
      <c r="C342" s="39"/>
      <c r="D342" s="39"/>
      <c r="E342" s="39"/>
      <c r="F342" s="39"/>
      <c r="G342" s="40"/>
      <c r="H342" s="39"/>
      <c r="I342" s="40" t="n">
        <f aca="false">IF(G342="",0,G342*S342)</f>
        <v>0</v>
      </c>
      <c r="J342" s="40"/>
      <c r="K342" s="40" t="n">
        <f aca="false">IF(G342="",0,G342-I342-IF(J342="",0,J342))</f>
        <v>0</v>
      </c>
      <c r="L342" s="40" t="n">
        <f aca="false">IF(O342="",0,IFERROR(INDEX(Purchases!I:I,MATCH(O342*1,Purchases!A:A,0)),0))</f>
        <v>0</v>
      </c>
      <c r="M342" s="40" t="n">
        <f aca="false">IF(G342="",0,K342-L342)</f>
        <v>0</v>
      </c>
      <c r="N342" s="48" t="str">
        <f aca="false">IFERROR(IF(G342="","",M342/G342),"")</f>
        <v/>
      </c>
      <c r="O342" s="39"/>
      <c r="P342" s="39"/>
      <c r="Q342" s="39"/>
      <c r="R342" s="39"/>
      <c r="S342" s="48" t="n">
        <f aca="false">IFERROR(VLOOKUP(H342,Settings!B14:C25,2,FALSE()),0)</f>
        <v>0</v>
      </c>
    </row>
    <row r="343" customFormat="false" ht="15" hidden="false" customHeight="false" outlineLevel="0" collapsed="false">
      <c r="A343" s="41" t="str">
        <f aca="false">IF(B343="","",ROW()-3)</f>
        <v/>
      </c>
      <c r="B343" s="42"/>
      <c r="G343" s="44"/>
      <c r="I343" s="44" t="n">
        <f aca="false">IF(G343="",0,G343*S343)</f>
        <v>0</v>
      </c>
      <c r="J343" s="44"/>
      <c r="K343" s="44" t="n">
        <f aca="false">IF(G343="",0,G343-I343-IF(J343="",0,J343))</f>
        <v>0</v>
      </c>
      <c r="L343" s="44" t="n">
        <f aca="false">IF(O343="",0,IFERROR(INDEX(Purchases!I:I,MATCH(O343*1,Purchases!A:A,0)),0))</f>
        <v>0</v>
      </c>
      <c r="M343" s="44" t="n">
        <f aca="false">IF(G343="",0,K343-L343)</f>
        <v>0</v>
      </c>
      <c r="N343" s="49" t="str">
        <f aca="false">IFERROR(IF(G343="","",M343/G343),"")</f>
        <v/>
      </c>
      <c r="S343" s="49" t="n">
        <f aca="false">IFERROR(VLOOKUP(H343,Settings!B14:C25,2,FALSE()),0)</f>
        <v>0</v>
      </c>
    </row>
    <row r="344" customFormat="false" ht="15" hidden="false" customHeight="false" outlineLevel="0" collapsed="false">
      <c r="A344" s="37" t="str">
        <f aca="false">IF(B344="","",ROW()-3)</f>
        <v/>
      </c>
      <c r="B344" s="38"/>
      <c r="C344" s="39"/>
      <c r="D344" s="39"/>
      <c r="E344" s="39"/>
      <c r="F344" s="39"/>
      <c r="G344" s="40"/>
      <c r="H344" s="39"/>
      <c r="I344" s="40" t="n">
        <f aca="false">IF(G344="",0,G344*S344)</f>
        <v>0</v>
      </c>
      <c r="J344" s="40"/>
      <c r="K344" s="40" t="n">
        <f aca="false">IF(G344="",0,G344-I344-IF(J344="",0,J344))</f>
        <v>0</v>
      </c>
      <c r="L344" s="40" t="n">
        <f aca="false">IF(O344="",0,IFERROR(INDEX(Purchases!I:I,MATCH(O344*1,Purchases!A:A,0)),0))</f>
        <v>0</v>
      </c>
      <c r="M344" s="40" t="n">
        <f aca="false">IF(G344="",0,K344-L344)</f>
        <v>0</v>
      </c>
      <c r="N344" s="48" t="str">
        <f aca="false">IFERROR(IF(G344="","",M344/G344),"")</f>
        <v/>
      </c>
      <c r="O344" s="39"/>
      <c r="P344" s="39"/>
      <c r="Q344" s="39"/>
      <c r="R344" s="39"/>
      <c r="S344" s="48" t="n">
        <f aca="false">IFERROR(VLOOKUP(H344,Settings!B14:C25,2,FALSE()),0)</f>
        <v>0</v>
      </c>
    </row>
    <row r="345" customFormat="false" ht="15" hidden="false" customHeight="false" outlineLevel="0" collapsed="false">
      <c r="A345" s="41" t="str">
        <f aca="false">IF(B345="","",ROW()-3)</f>
        <v/>
      </c>
      <c r="B345" s="42"/>
      <c r="G345" s="44"/>
      <c r="I345" s="44" t="n">
        <f aca="false">IF(G345="",0,G345*S345)</f>
        <v>0</v>
      </c>
      <c r="J345" s="44"/>
      <c r="K345" s="44" t="n">
        <f aca="false">IF(G345="",0,G345-I345-IF(J345="",0,J345))</f>
        <v>0</v>
      </c>
      <c r="L345" s="44" t="n">
        <f aca="false">IF(O345="",0,IFERROR(INDEX(Purchases!I:I,MATCH(O345*1,Purchases!A:A,0)),0))</f>
        <v>0</v>
      </c>
      <c r="M345" s="44" t="n">
        <f aca="false">IF(G345="",0,K345-L345)</f>
        <v>0</v>
      </c>
      <c r="N345" s="49" t="str">
        <f aca="false">IFERROR(IF(G345="","",M345/G345),"")</f>
        <v/>
      </c>
      <c r="S345" s="49" t="n">
        <f aca="false">IFERROR(VLOOKUP(H345,Settings!B14:C25,2,FALSE()),0)</f>
        <v>0</v>
      </c>
    </row>
    <row r="346" customFormat="false" ht="15" hidden="false" customHeight="false" outlineLevel="0" collapsed="false">
      <c r="A346" s="37" t="str">
        <f aca="false">IF(B346="","",ROW()-3)</f>
        <v/>
      </c>
      <c r="B346" s="38"/>
      <c r="C346" s="39"/>
      <c r="D346" s="39"/>
      <c r="E346" s="39"/>
      <c r="F346" s="39"/>
      <c r="G346" s="40"/>
      <c r="H346" s="39"/>
      <c r="I346" s="40" t="n">
        <f aca="false">IF(G346="",0,G346*S346)</f>
        <v>0</v>
      </c>
      <c r="J346" s="40"/>
      <c r="K346" s="40" t="n">
        <f aca="false">IF(G346="",0,G346-I346-IF(J346="",0,J346))</f>
        <v>0</v>
      </c>
      <c r="L346" s="40" t="n">
        <f aca="false">IF(O346="",0,IFERROR(INDEX(Purchases!I:I,MATCH(O346*1,Purchases!A:A,0)),0))</f>
        <v>0</v>
      </c>
      <c r="M346" s="40" t="n">
        <f aca="false">IF(G346="",0,K346-L346)</f>
        <v>0</v>
      </c>
      <c r="N346" s="48" t="str">
        <f aca="false">IFERROR(IF(G346="","",M346/G346),"")</f>
        <v/>
      </c>
      <c r="O346" s="39"/>
      <c r="P346" s="39"/>
      <c r="Q346" s="39"/>
      <c r="R346" s="39"/>
      <c r="S346" s="48" t="n">
        <f aca="false">IFERROR(VLOOKUP(H346,Settings!B14:C25,2,FALSE()),0)</f>
        <v>0</v>
      </c>
    </row>
    <row r="347" customFormat="false" ht="15" hidden="false" customHeight="false" outlineLevel="0" collapsed="false">
      <c r="A347" s="41" t="str">
        <f aca="false">IF(B347="","",ROW()-3)</f>
        <v/>
      </c>
      <c r="B347" s="42"/>
      <c r="G347" s="44"/>
      <c r="I347" s="44" t="n">
        <f aca="false">IF(G347="",0,G347*S347)</f>
        <v>0</v>
      </c>
      <c r="J347" s="44"/>
      <c r="K347" s="44" t="n">
        <f aca="false">IF(G347="",0,G347-I347-IF(J347="",0,J347))</f>
        <v>0</v>
      </c>
      <c r="L347" s="44" t="n">
        <f aca="false">IF(O347="",0,IFERROR(INDEX(Purchases!I:I,MATCH(O347*1,Purchases!A:A,0)),0))</f>
        <v>0</v>
      </c>
      <c r="M347" s="44" t="n">
        <f aca="false">IF(G347="",0,K347-L347)</f>
        <v>0</v>
      </c>
      <c r="N347" s="49" t="str">
        <f aca="false">IFERROR(IF(G347="","",M347/G347),"")</f>
        <v/>
      </c>
      <c r="S347" s="49" t="n">
        <f aca="false">IFERROR(VLOOKUP(H347,Settings!B14:C25,2,FALSE()),0)</f>
        <v>0</v>
      </c>
    </row>
    <row r="348" customFormat="false" ht="15" hidden="false" customHeight="false" outlineLevel="0" collapsed="false">
      <c r="A348" s="37" t="str">
        <f aca="false">IF(B348="","",ROW()-3)</f>
        <v/>
      </c>
      <c r="B348" s="38"/>
      <c r="C348" s="39"/>
      <c r="D348" s="39"/>
      <c r="E348" s="39"/>
      <c r="F348" s="39"/>
      <c r="G348" s="40"/>
      <c r="H348" s="39"/>
      <c r="I348" s="40" t="n">
        <f aca="false">IF(G348="",0,G348*S348)</f>
        <v>0</v>
      </c>
      <c r="J348" s="40"/>
      <c r="K348" s="40" t="n">
        <f aca="false">IF(G348="",0,G348-I348-IF(J348="",0,J348))</f>
        <v>0</v>
      </c>
      <c r="L348" s="40" t="n">
        <f aca="false">IF(O348="",0,IFERROR(INDEX(Purchases!I:I,MATCH(O348*1,Purchases!A:A,0)),0))</f>
        <v>0</v>
      </c>
      <c r="M348" s="40" t="n">
        <f aca="false">IF(G348="",0,K348-L348)</f>
        <v>0</v>
      </c>
      <c r="N348" s="48" t="str">
        <f aca="false">IFERROR(IF(G348="","",M348/G348),"")</f>
        <v/>
      </c>
      <c r="O348" s="39"/>
      <c r="P348" s="39"/>
      <c r="Q348" s="39"/>
      <c r="R348" s="39"/>
      <c r="S348" s="48" t="n">
        <f aca="false">IFERROR(VLOOKUP(H348,Settings!B14:C25,2,FALSE()),0)</f>
        <v>0</v>
      </c>
    </row>
    <row r="349" customFormat="false" ht="15" hidden="false" customHeight="false" outlineLevel="0" collapsed="false">
      <c r="A349" s="41" t="str">
        <f aca="false">IF(B349="","",ROW()-3)</f>
        <v/>
      </c>
      <c r="B349" s="42"/>
      <c r="G349" s="44"/>
      <c r="I349" s="44" t="n">
        <f aca="false">IF(G349="",0,G349*S349)</f>
        <v>0</v>
      </c>
      <c r="J349" s="44"/>
      <c r="K349" s="44" t="n">
        <f aca="false">IF(G349="",0,G349-I349-IF(J349="",0,J349))</f>
        <v>0</v>
      </c>
      <c r="L349" s="44" t="n">
        <f aca="false">IF(O349="",0,IFERROR(INDEX(Purchases!I:I,MATCH(O349*1,Purchases!A:A,0)),0))</f>
        <v>0</v>
      </c>
      <c r="M349" s="44" t="n">
        <f aca="false">IF(G349="",0,K349-L349)</f>
        <v>0</v>
      </c>
      <c r="N349" s="49" t="str">
        <f aca="false">IFERROR(IF(G349="","",M349/G349),"")</f>
        <v/>
      </c>
      <c r="S349" s="49" t="n">
        <f aca="false">IFERROR(VLOOKUP(H349,Settings!B14:C25,2,FALSE()),0)</f>
        <v>0</v>
      </c>
    </row>
    <row r="350" customFormat="false" ht="15" hidden="false" customHeight="false" outlineLevel="0" collapsed="false">
      <c r="A350" s="37" t="str">
        <f aca="false">IF(B350="","",ROW()-3)</f>
        <v/>
      </c>
      <c r="B350" s="38"/>
      <c r="C350" s="39"/>
      <c r="D350" s="39"/>
      <c r="E350" s="39"/>
      <c r="F350" s="39"/>
      <c r="G350" s="40"/>
      <c r="H350" s="39"/>
      <c r="I350" s="40" t="n">
        <f aca="false">IF(G350="",0,G350*S350)</f>
        <v>0</v>
      </c>
      <c r="J350" s="40"/>
      <c r="K350" s="40" t="n">
        <f aca="false">IF(G350="",0,G350-I350-IF(J350="",0,J350))</f>
        <v>0</v>
      </c>
      <c r="L350" s="40" t="n">
        <f aca="false">IF(O350="",0,IFERROR(INDEX(Purchases!I:I,MATCH(O350*1,Purchases!A:A,0)),0))</f>
        <v>0</v>
      </c>
      <c r="M350" s="40" t="n">
        <f aca="false">IF(G350="",0,K350-L350)</f>
        <v>0</v>
      </c>
      <c r="N350" s="48" t="str">
        <f aca="false">IFERROR(IF(G350="","",M350/G350),"")</f>
        <v/>
      </c>
      <c r="O350" s="39"/>
      <c r="P350" s="39"/>
      <c r="Q350" s="39"/>
      <c r="R350" s="39"/>
      <c r="S350" s="48" t="n">
        <f aca="false">IFERROR(VLOOKUP(H350,Settings!B14:C25,2,FALSE()),0)</f>
        <v>0</v>
      </c>
    </row>
    <row r="351" customFormat="false" ht="15" hidden="false" customHeight="false" outlineLevel="0" collapsed="false">
      <c r="A351" s="41" t="str">
        <f aca="false">IF(B351="","",ROW()-3)</f>
        <v/>
      </c>
      <c r="B351" s="42"/>
      <c r="G351" s="44"/>
      <c r="I351" s="44" t="n">
        <f aca="false">IF(G351="",0,G351*S351)</f>
        <v>0</v>
      </c>
      <c r="J351" s="44"/>
      <c r="K351" s="44" t="n">
        <f aca="false">IF(G351="",0,G351-I351-IF(J351="",0,J351))</f>
        <v>0</v>
      </c>
      <c r="L351" s="44" t="n">
        <f aca="false">IF(O351="",0,IFERROR(INDEX(Purchases!I:I,MATCH(O351*1,Purchases!A:A,0)),0))</f>
        <v>0</v>
      </c>
      <c r="M351" s="44" t="n">
        <f aca="false">IF(G351="",0,K351-L351)</f>
        <v>0</v>
      </c>
      <c r="N351" s="49" t="str">
        <f aca="false">IFERROR(IF(G351="","",M351/G351),"")</f>
        <v/>
      </c>
      <c r="S351" s="49" t="n">
        <f aca="false">IFERROR(VLOOKUP(H351,Settings!B14:C25,2,FALSE()),0)</f>
        <v>0</v>
      </c>
    </row>
    <row r="352" customFormat="false" ht="15" hidden="false" customHeight="false" outlineLevel="0" collapsed="false">
      <c r="A352" s="37" t="str">
        <f aca="false">IF(B352="","",ROW()-3)</f>
        <v/>
      </c>
      <c r="B352" s="38"/>
      <c r="C352" s="39"/>
      <c r="D352" s="39"/>
      <c r="E352" s="39"/>
      <c r="F352" s="39"/>
      <c r="G352" s="40"/>
      <c r="H352" s="39"/>
      <c r="I352" s="40" t="n">
        <f aca="false">IF(G352="",0,G352*S352)</f>
        <v>0</v>
      </c>
      <c r="J352" s="40"/>
      <c r="K352" s="40" t="n">
        <f aca="false">IF(G352="",0,G352-I352-IF(J352="",0,J352))</f>
        <v>0</v>
      </c>
      <c r="L352" s="40" t="n">
        <f aca="false">IF(O352="",0,IFERROR(INDEX(Purchases!I:I,MATCH(O352*1,Purchases!A:A,0)),0))</f>
        <v>0</v>
      </c>
      <c r="M352" s="40" t="n">
        <f aca="false">IF(G352="",0,K352-L352)</f>
        <v>0</v>
      </c>
      <c r="N352" s="48" t="str">
        <f aca="false">IFERROR(IF(G352="","",M352/G352),"")</f>
        <v/>
      </c>
      <c r="O352" s="39"/>
      <c r="P352" s="39"/>
      <c r="Q352" s="39"/>
      <c r="R352" s="39"/>
      <c r="S352" s="48" t="n">
        <f aca="false">IFERROR(VLOOKUP(H352,Settings!B14:C25,2,FALSE()),0)</f>
        <v>0</v>
      </c>
    </row>
    <row r="353" customFormat="false" ht="15" hidden="false" customHeight="false" outlineLevel="0" collapsed="false">
      <c r="A353" s="41" t="str">
        <f aca="false">IF(B353="","",ROW()-3)</f>
        <v/>
      </c>
      <c r="B353" s="42"/>
      <c r="G353" s="44"/>
      <c r="I353" s="44" t="n">
        <f aca="false">IF(G353="",0,G353*S353)</f>
        <v>0</v>
      </c>
      <c r="J353" s="44"/>
      <c r="K353" s="44" t="n">
        <f aca="false">IF(G353="",0,G353-I353-IF(J353="",0,J353))</f>
        <v>0</v>
      </c>
      <c r="L353" s="44" t="n">
        <f aca="false">IF(O353="",0,IFERROR(INDEX(Purchases!I:I,MATCH(O353*1,Purchases!A:A,0)),0))</f>
        <v>0</v>
      </c>
      <c r="M353" s="44" t="n">
        <f aca="false">IF(G353="",0,K353-L353)</f>
        <v>0</v>
      </c>
      <c r="N353" s="49" t="str">
        <f aca="false">IFERROR(IF(G353="","",M353/G353),"")</f>
        <v/>
      </c>
      <c r="S353" s="49" t="n">
        <f aca="false">IFERROR(VLOOKUP(H353,Settings!B14:C25,2,FALSE()),0)</f>
        <v>0</v>
      </c>
    </row>
    <row r="354" customFormat="false" ht="15" hidden="false" customHeight="false" outlineLevel="0" collapsed="false">
      <c r="A354" s="37" t="str">
        <f aca="false">IF(B354="","",ROW()-3)</f>
        <v/>
      </c>
      <c r="B354" s="38"/>
      <c r="C354" s="39"/>
      <c r="D354" s="39"/>
      <c r="E354" s="39"/>
      <c r="F354" s="39"/>
      <c r="G354" s="40"/>
      <c r="H354" s="39"/>
      <c r="I354" s="40" t="n">
        <f aca="false">IF(G354="",0,G354*S354)</f>
        <v>0</v>
      </c>
      <c r="J354" s="40"/>
      <c r="K354" s="40" t="n">
        <f aca="false">IF(G354="",0,G354-I354-IF(J354="",0,J354))</f>
        <v>0</v>
      </c>
      <c r="L354" s="40" t="n">
        <f aca="false">IF(O354="",0,IFERROR(INDEX(Purchases!I:I,MATCH(O354*1,Purchases!A:A,0)),0))</f>
        <v>0</v>
      </c>
      <c r="M354" s="40" t="n">
        <f aca="false">IF(G354="",0,K354-L354)</f>
        <v>0</v>
      </c>
      <c r="N354" s="48" t="str">
        <f aca="false">IFERROR(IF(G354="","",M354/G354),"")</f>
        <v/>
      </c>
      <c r="O354" s="39"/>
      <c r="P354" s="39"/>
      <c r="Q354" s="39"/>
      <c r="R354" s="39"/>
      <c r="S354" s="48" t="n">
        <f aca="false">IFERROR(VLOOKUP(H354,Settings!B14:C25,2,FALSE()),0)</f>
        <v>0</v>
      </c>
    </row>
    <row r="355" customFormat="false" ht="15" hidden="false" customHeight="false" outlineLevel="0" collapsed="false">
      <c r="A355" s="41" t="str">
        <f aca="false">IF(B355="","",ROW()-3)</f>
        <v/>
      </c>
      <c r="B355" s="42"/>
      <c r="G355" s="44"/>
      <c r="I355" s="44" t="n">
        <f aca="false">IF(G355="",0,G355*S355)</f>
        <v>0</v>
      </c>
      <c r="J355" s="44"/>
      <c r="K355" s="44" t="n">
        <f aca="false">IF(G355="",0,G355-I355-IF(J355="",0,J355))</f>
        <v>0</v>
      </c>
      <c r="L355" s="44" t="n">
        <f aca="false">IF(O355="",0,IFERROR(INDEX(Purchases!I:I,MATCH(O355*1,Purchases!A:A,0)),0))</f>
        <v>0</v>
      </c>
      <c r="M355" s="44" t="n">
        <f aca="false">IF(G355="",0,K355-L355)</f>
        <v>0</v>
      </c>
      <c r="N355" s="49" t="str">
        <f aca="false">IFERROR(IF(G355="","",M355/G355),"")</f>
        <v/>
      </c>
      <c r="S355" s="49" t="n">
        <f aca="false">IFERROR(VLOOKUP(H355,Settings!B14:C25,2,FALSE()),0)</f>
        <v>0</v>
      </c>
    </row>
    <row r="356" customFormat="false" ht="15" hidden="false" customHeight="false" outlineLevel="0" collapsed="false">
      <c r="A356" s="37" t="str">
        <f aca="false">IF(B356="","",ROW()-3)</f>
        <v/>
      </c>
      <c r="B356" s="38"/>
      <c r="C356" s="39"/>
      <c r="D356" s="39"/>
      <c r="E356" s="39"/>
      <c r="F356" s="39"/>
      <c r="G356" s="40"/>
      <c r="H356" s="39"/>
      <c r="I356" s="40" t="n">
        <f aca="false">IF(G356="",0,G356*S356)</f>
        <v>0</v>
      </c>
      <c r="J356" s="40"/>
      <c r="K356" s="40" t="n">
        <f aca="false">IF(G356="",0,G356-I356-IF(J356="",0,J356))</f>
        <v>0</v>
      </c>
      <c r="L356" s="40" t="n">
        <f aca="false">IF(O356="",0,IFERROR(INDEX(Purchases!I:I,MATCH(O356*1,Purchases!A:A,0)),0))</f>
        <v>0</v>
      </c>
      <c r="M356" s="40" t="n">
        <f aca="false">IF(G356="",0,K356-L356)</f>
        <v>0</v>
      </c>
      <c r="N356" s="48" t="str">
        <f aca="false">IFERROR(IF(G356="","",M356/G356),"")</f>
        <v/>
      </c>
      <c r="O356" s="39"/>
      <c r="P356" s="39"/>
      <c r="Q356" s="39"/>
      <c r="R356" s="39"/>
      <c r="S356" s="48" t="n">
        <f aca="false">IFERROR(VLOOKUP(H356,Settings!B14:C25,2,FALSE()),0)</f>
        <v>0</v>
      </c>
    </row>
    <row r="357" customFormat="false" ht="15" hidden="false" customHeight="false" outlineLevel="0" collapsed="false">
      <c r="A357" s="41" t="str">
        <f aca="false">IF(B357="","",ROW()-3)</f>
        <v/>
      </c>
      <c r="B357" s="42"/>
      <c r="G357" s="44"/>
      <c r="I357" s="44" t="n">
        <f aca="false">IF(G357="",0,G357*S357)</f>
        <v>0</v>
      </c>
      <c r="J357" s="44"/>
      <c r="K357" s="44" t="n">
        <f aca="false">IF(G357="",0,G357-I357-IF(J357="",0,J357))</f>
        <v>0</v>
      </c>
      <c r="L357" s="44" t="n">
        <f aca="false">IF(O357="",0,IFERROR(INDEX(Purchases!I:I,MATCH(O357*1,Purchases!A:A,0)),0))</f>
        <v>0</v>
      </c>
      <c r="M357" s="44" t="n">
        <f aca="false">IF(G357="",0,K357-L357)</f>
        <v>0</v>
      </c>
      <c r="N357" s="49" t="str">
        <f aca="false">IFERROR(IF(G357="","",M357/G357),"")</f>
        <v/>
      </c>
      <c r="S357" s="49" t="n">
        <f aca="false">IFERROR(VLOOKUP(H357,Settings!B14:C25,2,FALSE()),0)</f>
        <v>0</v>
      </c>
    </row>
    <row r="358" customFormat="false" ht="15" hidden="false" customHeight="false" outlineLevel="0" collapsed="false">
      <c r="A358" s="37" t="str">
        <f aca="false">IF(B358="","",ROW()-3)</f>
        <v/>
      </c>
      <c r="B358" s="38"/>
      <c r="C358" s="39"/>
      <c r="D358" s="39"/>
      <c r="E358" s="39"/>
      <c r="F358" s="39"/>
      <c r="G358" s="40"/>
      <c r="H358" s="39"/>
      <c r="I358" s="40" t="n">
        <f aca="false">IF(G358="",0,G358*S358)</f>
        <v>0</v>
      </c>
      <c r="J358" s="40"/>
      <c r="K358" s="40" t="n">
        <f aca="false">IF(G358="",0,G358-I358-IF(J358="",0,J358))</f>
        <v>0</v>
      </c>
      <c r="L358" s="40" t="n">
        <f aca="false">IF(O358="",0,IFERROR(INDEX(Purchases!I:I,MATCH(O358*1,Purchases!A:A,0)),0))</f>
        <v>0</v>
      </c>
      <c r="M358" s="40" t="n">
        <f aca="false">IF(G358="",0,K358-L358)</f>
        <v>0</v>
      </c>
      <c r="N358" s="48" t="str">
        <f aca="false">IFERROR(IF(G358="","",M358/G358),"")</f>
        <v/>
      </c>
      <c r="O358" s="39"/>
      <c r="P358" s="39"/>
      <c r="Q358" s="39"/>
      <c r="R358" s="39"/>
      <c r="S358" s="48" t="n">
        <f aca="false">IFERROR(VLOOKUP(H358,Settings!B14:C25,2,FALSE()),0)</f>
        <v>0</v>
      </c>
    </row>
    <row r="359" customFormat="false" ht="15" hidden="false" customHeight="false" outlineLevel="0" collapsed="false">
      <c r="A359" s="41" t="str">
        <f aca="false">IF(B359="","",ROW()-3)</f>
        <v/>
      </c>
      <c r="B359" s="42"/>
      <c r="G359" s="44"/>
      <c r="I359" s="44" t="n">
        <f aca="false">IF(G359="",0,G359*S359)</f>
        <v>0</v>
      </c>
      <c r="J359" s="44"/>
      <c r="K359" s="44" t="n">
        <f aca="false">IF(G359="",0,G359-I359-IF(J359="",0,J359))</f>
        <v>0</v>
      </c>
      <c r="L359" s="44" t="n">
        <f aca="false">IF(O359="",0,IFERROR(INDEX(Purchases!I:I,MATCH(O359*1,Purchases!A:A,0)),0))</f>
        <v>0</v>
      </c>
      <c r="M359" s="44" t="n">
        <f aca="false">IF(G359="",0,K359-L359)</f>
        <v>0</v>
      </c>
      <c r="N359" s="49" t="str">
        <f aca="false">IFERROR(IF(G359="","",M359/G359),"")</f>
        <v/>
      </c>
      <c r="S359" s="49" t="n">
        <f aca="false">IFERROR(VLOOKUP(H359,Settings!B14:C25,2,FALSE()),0)</f>
        <v>0</v>
      </c>
    </row>
    <row r="360" customFormat="false" ht="15" hidden="false" customHeight="false" outlineLevel="0" collapsed="false">
      <c r="A360" s="37" t="str">
        <f aca="false">IF(B360="","",ROW()-3)</f>
        <v/>
      </c>
      <c r="B360" s="38"/>
      <c r="C360" s="39"/>
      <c r="D360" s="39"/>
      <c r="E360" s="39"/>
      <c r="F360" s="39"/>
      <c r="G360" s="40"/>
      <c r="H360" s="39"/>
      <c r="I360" s="40" t="n">
        <f aca="false">IF(G360="",0,G360*S360)</f>
        <v>0</v>
      </c>
      <c r="J360" s="40"/>
      <c r="K360" s="40" t="n">
        <f aca="false">IF(G360="",0,G360-I360-IF(J360="",0,J360))</f>
        <v>0</v>
      </c>
      <c r="L360" s="40" t="n">
        <f aca="false">IF(O360="",0,IFERROR(INDEX(Purchases!I:I,MATCH(O360*1,Purchases!A:A,0)),0))</f>
        <v>0</v>
      </c>
      <c r="M360" s="40" t="n">
        <f aca="false">IF(G360="",0,K360-L360)</f>
        <v>0</v>
      </c>
      <c r="N360" s="48" t="str">
        <f aca="false">IFERROR(IF(G360="","",M360/G360),"")</f>
        <v/>
      </c>
      <c r="O360" s="39"/>
      <c r="P360" s="39"/>
      <c r="Q360" s="39"/>
      <c r="R360" s="39"/>
      <c r="S360" s="48" t="n">
        <f aca="false">IFERROR(VLOOKUP(H360,Settings!B14:C25,2,FALSE()),0)</f>
        <v>0</v>
      </c>
    </row>
    <row r="361" customFormat="false" ht="15" hidden="false" customHeight="false" outlineLevel="0" collapsed="false">
      <c r="A361" s="41" t="str">
        <f aca="false">IF(B361="","",ROW()-3)</f>
        <v/>
      </c>
      <c r="B361" s="42"/>
      <c r="G361" s="44"/>
      <c r="I361" s="44" t="n">
        <f aca="false">IF(G361="",0,G361*S361)</f>
        <v>0</v>
      </c>
      <c r="J361" s="44"/>
      <c r="K361" s="44" t="n">
        <f aca="false">IF(G361="",0,G361-I361-IF(J361="",0,J361))</f>
        <v>0</v>
      </c>
      <c r="L361" s="44" t="n">
        <f aca="false">IF(O361="",0,IFERROR(INDEX(Purchases!I:I,MATCH(O361*1,Purchases!A:A,0)),0))</f>
        <v>0</v>
      </c>
      <c r="M361" s="44" t="n">
        <f aca="false">IF(G361="",0,K361-L361)</f>
        <v>0</v>
      </c>
      <c r="N361" s="49" t="str">
        <f aca="false">IFERROR(IF(G361="","",M361/G361),"")</f>
        <v/>
      </c>
      <c r="S361" s="49" t="n">
        <f aca="false">IFERROR(VLOOKUP(H361,Settings!B14:C25,2,FALSE()),0)</f>
        <v>0</v>
      </c>
    </row>
    <row r="362" customFormat="false" ht="15" hidden="false" customHeight="false" outlineLevel="0" collapsed="false">
      <c r="A362" s="37" t="str">
        <f aca="false">IF(B362="","",ROW()-3)</f>
        <v/>
      </c>
      <c r="B362" s="38"/>
      <c r="C362" s="39"/>
      <c r="D362" s="39"/>
      <c r="E362" s="39"/>
      <c r="F362" s="39"/>
      <c r="G362" s="40"/>
      <c r="H362" s="39"/>
      <c r="I362" s="40" t="n">
        <f aca="false">IF(G362="",0,G362*S362)</f>
        <v>0</v>
      </c>
      <c r="J362" s="40"/>
      <c r="K362" s="40" t="n">
        <f aca="false">IF(G362="",0,G362-I362-IF(J362="",0,J362))</f>
        <v>0</v>
      </c>
      <c r="L362" s="40" t="n">
        <f aca="false">IF(O362="",0,IFERROR(INDEX(Purchases!I:I,MATCH(O362*1,Purchases!A:A,0)),0))</f>
        <v>0</v>
      </c>
      <c r="M362" s="40" t="n">
        <f aca="false">IF(G362="",0,K362-L362)</f>
        <v>0</v>
      </c>
      <c r="N362" s="48" t="str">
        <f aca="false">IFERROR(IF(G362="","",M362/G362),"")</f>
        <v/>
      </c>
      <c r="O362" s="39"/>
      <c r="P362" s="39"/>
      <c r="Q362" s="39"/>
      <c r="R362" s="39"/>
      <c r="S362" s="48" t="n">
        <f aca="false">IFERROR(VLOOKUP(H362,Settings!B14:C25,2,FALSE()),0)</f>
        <v>0</v>
      </c>
    </row>
    <row r="363" customFormat="false" ht="15" hidden="false" customHeight="false" outlineLevel="0" collapsed="false">
      <c r="A363" s="41" t="str">
        <f aca="false">IF(B363="","",ROW()-3)</f>
        <v/>
      </c>
      <c r="B363" s="42"/>
      <c r="G363" s="44"/>
      <c r="I363" s="44" t="n">
        <f aca="false">IF(G363="",0,G363*S363)</f>
        <v>0</v>
      </c>
      <c r="J363" s="44"/>
      <c r="K363" s="44" t="n">
        <f aca="false">IF(G363="",0,G363-I363-IF(J363="",0,J363))</f>
        <v>0</v>
      </c>
      <c r="L363" s="44" t="n">
        <f aca="false">IF(O363="",0,IFERROR(INDEX(Purchases!I:I,MATCH(O363*1,Purchases!A:A,0)),0))</f>
        <v>0</v>
      </c>
      <c r="M363" s="44" t="n">
        <f aca="false">IF(G363="",0,K363-L363)</f>
        <v>0</v>
      </c>
      <c r="N363" s="49" t="str">
        <f aca="false">IFERROR(IF(G363="","",M363/G363),"")</f>
        <v/>
      </c>
      <c r="S363" s="49" t="n">
        <f aca="false">IFERROR(VLOOKUP(H363,Settings!B14:C25,2,FALSE()),0)</f>
        <v>0</v>
      </c>
    </row>
    <row r="364" customFormat="false" ht="15" hidden="false" customHeight="false" outlineLevel="0" collapsed="false">
      <c r="A364" s="37" t="str">
        <f aca="false">IF(B364="","",ROW()-3)</f>
        <v/>
      </c>
      <c r="B364" s="38"/>
      <c r="C364" s="39"/>
      <c r="D364" s="39"/>
      <c r="E364" s="39"/>
      <c r="F364" s="39"/>
      <c r="G364" s="40"/>
      <c r="H364" s="39"/>
      <c r="I364" s="40" t="n">
        <f aca="false">IF(G364="",0,G364*S364)</f>
        <v>0</v>
      </c>
      <c r="J364" s="40"/>
      <c r="K364" s="40" t="n">
        <f aca="false">IF(G364="",0,G364-I364-IF(J364="",0,J364))</f>
        <v>0</v>
      </c>
      <c r="L364" s="40" t="n">
        <f aca="false">IF(O364="",0,IFERROR(INDEX(Purchases!I:I,MATCH(O364*1,Purchases!A:A,0)),0))</f>
        <v>0</v>
      </c>
      <c r="M364" s="40" t="n">
        <f aca="false">IF(G364="",0,K364-L364)</f>
        <v>0</v>
      </c>
      <c r="N364" s="48" t="str">
        <f aca="false">IFERROR(IF(G364="","",M364/G364),"")</f>
        <v/>
      </c>
      <c r="O364" s="39"/>
      <c r="P364" s="39"/>
      <c r="Q364" s="39"/>
      <c r="R364" s="39"/>
      <c r="S364" s="48" t="n">
        <f aca="false">IFERROR(VLOOKUP(H364,Settings!B14:C25,2,FALSE()),0)</f>
        <v>0</v>
      </c>
    </row>
    <row r="365" customFormat="false" ht="15" hidden="false" customHeight="false" outlineLevel="0" collapsed="false">
      <c r="A365" s="41" t="str">
        <f aca="false">IF(B365="","",ROW()-3)</f>
        <v/>
      </c>
      <c r="B365" s="42"/>
      <c r="G365" s="44"/>
      <c r="I365" s="44" t="n">
        <f aca="false">IF(G365="",0,G365*S365)</f>
        <v>0</v>
      </c>
      <c r="J365" s="44"/>
      <c r="K365" s="44" t="n">
        <f aca="false">IF(G365="",0,G365-I365-IF(J365="",0,J365))</f>
        <v>0</v>
      </c>
      <c r="L365" s="44" t="n">
        <f aca="false">IF(O365="",0,IFERROR(INDEX(Purchases!I:I,MATCH(O365*1,Purchases!A:A,0)),0))</f>
        <v>0</v>
      </c>
      <c r="M365" s="44" t="n">
        <f aca="false">IF(G365="",0,K365-L365)</f>
        <v>0</v>
      </c>
      <c r="N365" s="49" t="str">
        <f aca="false">IFERROR(IF(G365="","",M365/G365),"")</f>
        <v/>
      </c>
      <c r="S365" s="49" t="n">
        <f aca="false">IFERROR(VLOOKUP(H365,Settings!B14:C25,2,FALSE()),0)</f>
        <v>0</v>
      </c>
    </row>
    <row r="366" customFormat="false" ht="15" hidden="false" customHeight="false" outlineLevel="0" collapsed="false">
      <c r="A366" s="37" t="str">
        <f aca="false">IF(B366="","",ROW()-3)</f>
        <v/>
      </c>
      <c r="B366" s="38"/>
      <c r="C366" s="39"/>
      <c r="D366" s="39"/>
      <c r="E366" s="39"/>
      <c r="F366" s="39"/>
      <c r="G366" s="40"/>
      <c r="H366" s="39"/>
      <c r="I366" s="40" t="n">
        <f aca="false">IF(G366="",0,G366*S366)</f>
        <v>0</v>
      </c>
      <c r="J366" s="40"/>
      <c r="K366" s="40" t="n">
        <f aca="false">IF(G366="",0,G366-I366-IF(J366="",0,J366))</f>
        <v>0</v>
      </c>
      <c r="L366" s="40" t="n">
        <f aca="false">IF(O366="",0,IFERROR(INDEX(Purchases!I:I,MATCH(O366*1,Purchases!A:A,0)),0))</f>
        <v>0</v>
      </c>
      <c r="M366" s="40" t="n">
        <f aca="false">IF(G366="",0,K366-L366)</f>
        <v>0</v>
      </c>
      <c r="N366" s="48" t="str">
        <f aca="false">IFERROR(IF(G366="","",M366/G366),"")</f>
        <v/>
      </c>
      <c r="O366" s="39"/>
      <c r="P366" s="39"/>
      <c r="Q366" s="39"/>
      <c r="R366" s="39"/>
      <c r="S366" s="48" t="n">
        <f aca="false">IFERROR(VLOOKUP(H366,Settings!B14:C25,2,FALSE()),0)</f>
        <v>0</v>
      </c>
    </row>
    <row r="367" customFormat="false" ht="15" hidden="false" customHeight="false" outlineLevel="0" collapsed="false">
      <c r="A367" s="41" t="str">
        <f aca="false">IF(B367="","",ROW()-3)</f>
        <v/>
      </c>
      <c r="B367" s="42"/>
      <c r="G367" s="44"/>
      <c r="I367" s="44" t="n">
        <f aca="false">IF(G367="",0,G367*S367)</f>
        <v>0</v>
      </c>
      <c r="J367" s="44"/>
      <c r="K367" s="44" t="n">
        <f aca="false">IF(G367="",0,G367-I367-IF(J367="",0,J367))</f>
        <v>0</v>
      </c>
      <c r="L367" s="44" t="n">
        <f aca="false">IF(O367="",0,IFERROR(INDEX(Purchases!I:I,MATCH(O367*1,Purchases!A:A,0)),0))</f>
        <v>0</v>
      </c>
      <c r="M367" s="44" t="n">
        <f aca="false">IF(G367="",0,K367-L367)</f>
        <v>0</v>
      </c>
      <c r="N367" s="49" t="str">
        <f aca="false">IFERROR(IF(G367="","",M367/G367),"")</f>
        <v/>
      </c>
      <c r="S367" s="49" t="n">
        <f aca="false">IFERROR(VLOOKUP(H367,Settings!B14:C25,2,FALSE()),0)</f>
        <v>0</v>
      </c>
    </row>
    <row r="368" customFormat="false" ht="15" hidden="false" customHeight="false" outlineLevel="0" collapsed="false">
      <c r="A368" s="37" t="str">
        <f aca="false">IF(B368="","",ROW()-3)</f>
        <v/>
      </c>
      <c r="B368" s="38"/>
      <c r="C368" s="39"/>
      <c r="D368" s="39"/>
      <c r="E368" s="39"/>
      <c r="F368" s="39"/>
      <c r="G368" s="40"/>
      <c r="H368" s="39"/>
      <c r="I368" s="40" t="n">
        <f aca="false">IF(G368="",0,G368*S368)</f>
        <v>0</v>
      </c>
      <c r="J368" s="40"/>
      <c r="K368" s="40" t="n">
        <f aca="false">IF(G368="",0,G368-I368-IF(J368="",0,J368))</f>
        <v>0</v>
      </c>
      <c r="L368" s="40" t="n">
        <f aca="false">IF(O368="",0,IFERROR(INDEX(Purchases!I:I,MATCH(O368*1,Purchases!A:A,0)),0))</f>
        <v>0</v>
      </c>
      <c r="M368" s="40" t="n">
        <f aca="false">IF(G368="",0,K368-L368)</f>
        <v>0</v>
      </c>
      <c r="N368" s="48" t="str">
        <f aca="false">IFERROR(IF(G368="","",M368/G368),"")</f>
        <v/>
      </c>
      <c r="O368" s="39"/>
      <c r="P368" s="39"/>
      <c r="Q368" s="39"/>
      <c r="R368" s="39"/>
      <c r="S368" s="48" t="n">
        <f aca="false">IFERROR(VLOOKUP(H368,Settings!B14:C25,2,FALSE()),0)</f>
        <v>0</v>
      </c>
    </row>
    <row r="369" customFormat="false" ht="15" hidden="false" customHeight="false" outlineLevel="0" collapsed="false">
      <c r="A369" s="41" t="str">
        <f aca="false">IF(B369="","",ROW()-3)</f>
        <v/>
      </c>
      <c r="B369" s="42"/>
      <c r="G369" s="44"/>
      <c r="I369" s="44" t="n">
        <f aca="false">IF(G369="",0,G369*S369)</f>
        <v>0</v>
      </c>
      <c r="J369" s="44"/>
      <c r="K369" s="44" t="n">
        <f aca="false">IF(G369="",0,G369-I369-IF(J369="",0,J369))</f>
        <v>0</v>
      </c>
      <c r="L369" s="44" t="n">
        <f aca="false">IF(O369="",0,IFERROR(INDEX(Purchases!I:I,MATCH(O369*1,Purchases!A:A,0)),0))</f>
        <v>0</v>
      </c>
      <c r="M369" s="44" t="n">
        <f aca="false">IF(G369="",0,K369-L369)</f>
        <v>0</v>
      </c>
      <c r="N369" s="49" t="str">
        <f aca="false">IFERROR(IF(G369="","",M369/G369),"")</f>
        <v/>
      </c>
      <c r="S369" s="49" t="n">
        <f aca="false">IFERROR(VLOOKUP(H369,Settings!B14:C25,2,FALSE()),0)</f>
        <v>0</v>
      </c>
    </row>
    <row r="370" customFormat="false" ht="15" hidden="false" customHeight="false" outlineLevel="0" collapsed="false">
      <c r="A370" s="37" t="str">
        <f aca="false">IF(B370="","",ROW()-3)</f>
        <v/>
      </c>
      <c r="B370" s="38"/>
      <c r="C370" s="39"/>
      <c r="D370" s="39"/>
      <c r="E370" s="39"/>
      <c r="F370" s="39"/>
      <c r="G370" s="40"/>
      <c r="H370" s="39"/>
      <c r="I370" s="40" t="n">
        <f aca="false">IF(G370="",0,G370*S370)</f>
        <v>0</v>
      </c>
      <c r="J370" s="40"/>
      <c r="K370" s="40" t="n">
        <f aca="false">IF(G370="",0,G370-I370-IF(J370="",0,J370))</f>
        <v>0</v>
      </c>
      <c r="L370" s="40" t="n">
        <f aca="false">IF(O370="",0,IFERROR(INDEX(Purchases!I:I,MATCH(O370*1,Purchases!A:A,0)),0))</f>
        <v>0</v>
      </c>
      <c r="M370" s="40" t="n">
        <f aca="false">IF(G370="",0,K370-L370)</f>
        <v>0</v>
      </c>
      <c r="N370" s="48" t="str">
        <f aca="false">IFERROR(IF(G370="","",M370/G370),"")</f>
        <v/>
      </c>
      <c r="O370" s="39"/>
      <c r="P370" s="39"/>
      <c r="Q370" s="39"/>
      <c r="R370" s="39"/>
      <c r="S370" s="48" t="n">
        <f aca="false">IFERROR(VLOOKUP(H370,Settings!B14:C25,2,FALSE()),0)</f>
        <v>0</v>
      </c>
    </row>
    <row r="371" customFormat="false" ht="15" hidden="false" customHeight="false" outlineLevel="0" collapsed="false">
      <c r="A371" s="41" t="str">
        <f aca="false">IF(B371="","",ROW()-3)</f>
        <v/>
      </c>
      <c r="B371" s="42"/>
      <c r="G371" s="44"/>
      <c r="I371" s="44" t="n">
        <f aca="false">IF(G371="",0,G371*S371)</f>
        <v>0</v>
      </c>
      <c r="J371" s="44"/>
      <c r="K371" s="44" t="n">
        <f aca="false">IF(G371="",0,G371-I371-IF(J371="",0,J371))</f>
        <v>0</v>
      </c>
      <c r="L371" s="44" t="n">
        <f aca="false">IF(O371="",0,IFERROR(INDEX(Purchases!I:I,MATCH(O371*1,Purchases!A:A,0)),0))</f>
        <v>0</v>
      </c>
      <c r="M371" s="44" t="n">
        <f aca="false">IF(G371="",0,K371-L371)</f>
        <v>0</v>
      </c>
      <c r="N371" s="49" t="str">
        <f aca="false">IFERROR(IF(G371="","",M371/G371),"")</f>
        <v/>
      </c>
      <c r="S371" s="49" t="n">
        <f aca="false">IFERROR(VLOOKUP(H371,Settings!B14:C25,2,FALSE()),0)</f>
        <v>0</v>
      </c>
    </row>
    <row r="372" customFormat="false" ht="15" hidden="false" customHeight="false" outlineLevel="0" collapsed="false">
      <c r="A372" s="37" t="str">
        <f aca="false">IF(B372="","",ROW()-3)</f>
        <v/>
      </c>
      <c r="B372" s="38"/>
      <c r="C372" s="39"/>
      <c r="D372" s="39"/>
      <c r="E372" s="39"/>
      <c r="F372" s="39"/>
      <c r="G372" s="40"/>
      <c r="H372" s="39"/>
      <c r="I372" s="40" t="n">
        <f aca="false">IF(G372="",0,G372*S372)</f>
        <v>0</v>
      </c>
      <c r="J372" s="40"/>
      <c r="K372" s="40" t="n">
        <f aca="false">IF(G372="",0,G372-I372-IF(J372="",0,J372))</f>
        <v>0</v>
      </c>
      <c r="L372" s="40" t="n">
        <f aca="false">IF(O372="",0,IFERROR(INDEX(Purchases!I:I,MATCH(O372*1,Purchases!A:A,0)),0))</f>
        <v>0</v>
      </c>
      <c r="M372" s="40" t="n">
        <f aca="false">IF(G372="",0,K372-L372)</f>
        <v>0</v>
      </c>
      <c r="N372" s="48" t="str">
        <f aca="false">IFERROR(IF(G372="","",M372/G372),"")</f>
        <v/>
      </c>
      <c r="O372" s="39"/>
      <c r="P372" s="39"/>
      <c r="Q372" s="39"/>
      <c r="R372" s="39"/>
      <c r="S372" s="48" t="n">
        <f aca="false">IFERROR(VLOOKUP(H372,Settings!B14:C25,2,FALSE()),0)</f>
        <v>0</v>
      </c>
    </row>
    <row r="373" customFormat="false" ht="15" hidden="false" customHeight="false" outlineLevel="0" collapsed="false">
      <c r="A373" s="41" t="str">
        <f aca="false">IF(B373="","",ROW()-3)</f>
        <v/>
      </c>
      <c r="B373" s="42"/>
      <c r="G373" s="44"/>
      <c r="I373" s="44" t="n">
        <f aca="false">IF(G373="",0,G373*S373)</f>
        <v>0</v>
      </c>
      <c r="J373" s="44"/>
      <c r="K373" s="44" t="n">
        <f aca="false">IF(G373="",0,G373-I373-IF(J373="",0,J373))</f>
        <v>0</v>
      </c>
      <c r="L373" s="44" t="n">
        <f aca="false">IF(O373="",0,IFERROR(INDEX(Purchases!I:I,MATCH(O373*1,Purchases!A:A,0)),0))</f>
        <v>0</v>
      </c>
      <c r="M373" s="44" t="n">
        <f aca="false">IF(G373="",0,K373-L373)</f>
        <v>0</v>
      </c>
      <c r="N373" s="49" t="str">
        <f aca="false">IFERROR(IF(G373="","",M373/G373),"")</f>
        <v/>
      </c>
      <c r="S373" s="49" t="n">
        <f aca="false">IFERROR(VLOOKUP(H373,Settings!B14:C25,2,FALSE()),0)</f>
        <v>0</v>
      </c>
    </row>
    <row r="374" customFormat="false" ht="15" hidden="false" customHeight="false" outlineLevel="0" collapsed="false">
      <c r="A374" s="37" t="str">
        <f aca="false">IF(B374="","",ROW()-3)</f>
        <v/>
      </c>
      <c r="B374" s="38"/>
      <c r="C374" s="39"/>
      <c r="D374" s="39"/>
      <c r="E374" s="39"/>
      <c r="F374" s="39"/>
      <c r="G374" s="40"/>
      <c r="H374" s="39"/>
      <c r="I374" s="40" t="n">
        <f aca="false">IF(G374="",0,G374*S374)</f>
        <v>0</v>
      </c>
      <c r="J374" s="40"/>
      <c r="K374" s="40" t="n">
        <f aca="false">IF(G374="",0,G374-I374-IF(J374="",0,J374))</f>
        <v>0</v>
      </c>
      <c r="L374" s="40" t="n">
        <f aca="false">IF(O374="",0,IFERROR(INDEX(Purchases!I:I,MATCH(O374*1,Purchases!A:A,0)),0))</f>
        <v>0</v>
      </c>
      <c r="M374" s="40" t="n">
        <f aca="false">IF(G374="",0,K374-L374)</f>
        <v>0</v>
      </c>
      <c r="N374" s="48" t="str">
        <f aca="false">IFERROR(IF(G374="","",M374/G374),"")</f>
        <v/>
      </c>
      <c r="O374" s="39"/>
      <c r="P374" s="39"/>
      <c r="Q374" s="39"/>
      <c r="R374" s="39"/>
      <c r="S374" s="48" t="n">
        <f aca="false">IFERROR(VLOOKUP(H374,Settings!B14:C25,2,FALSE()),0)</f>
        <v>0</v>
      </c>
    </row>
    <row r="375" customFormat="false" ht="15" hidden="false" customHeight="false" outlineLevel="0" collapsed="false">
      <c r="A375" s="41" t="str">
        <f aca="false">IF(B375="","",ROW()-3)</f>
        <v/>
      </c>
      <c r="B375" s="42"/>
      <c r="G375" s="44"/>
      <c r="I375" s="44" t="n">
        <f aca="false">IF(G375="",0,G375*S375)</f>
        <v>0</v>
      </c>
      <c r="J375" s="44"/>
      <c r="K375" s="44" t="n">
        <f aca="false">IF(G375="",0,G375-I375-IF(J375="",0,J375))</f>
        <v>0</v>
      </c>
      <c r="L375" s="44" t="n">
        <f aca="false">IF(O375="",0,IFERROR(INDEX(Purchases!I:I,MATCH(O375*1,Purchases!A:A,0)),0))</f>
        <v>0</v>
      </c>
      <c r="M375" s="44" t="n">
        <f aca="false">IF(G375="",0,K375-L375)</f>
        <v>0</v>
      </c>
      <c r="N375" s="49" t="str">
        <f aca="false">IFERROR(IF(G375="","",M375/G375),"")</f>
        <v/>
      </c>
      <c r="S375" s="49" t="n">
        <f aca="false">IFERROR(VLOOKUP(H375,Settings!B14:C25,2,FALSE()),0)</f>
        <v>0</v>
      </c>
    </row>
    <row r="376" customFormat="false" ht="15" hidden="false" customHeight="false" outlineLevel="0" collapsed="false">
      <c r="A376" s="37" t="str">
        <f aca="false">IF(B376="","",ROW()-3)</f>
        <v/>
      </c>
      <c r="B376" s="38"/>
      <c r="C376" s="39"/>
      <c r="D376" s="39"/>
      <c r="E376" s="39"/>
      <c r="F376" s="39"/>
      <c r="G376" s="40"/>
      <c r="H376" s="39"/>
      <c r="I376" s="40" t="n">
        <f aca="false">IF(G376="",0,G376*S376)</f>
        <v>0</v>
      </c>
      <c r="J376" s="40"/>
      <c r="K376" s="40" t="n">
        <f aca="false">IF(G376="",0,G376-I376-IF(J376="",0,J376))</f>
        <v>0</v>
      </c>
      <c r="L376" s="40" t="n">
        <f aca="false">IF(O376="",0,IFERROR(INDEX(Purchases!I:I,MATCH(O376*1,Purchases!A:A,0)),0))</f>
        <v>0</v>
      </c>
      <c r="M376" s="40" t="n">
        <f aca="false">IF(G376="",0,K376-L376)</f>
        <v>0</v>
      </c>
      <c r="N376" s="48" t="str">
        <f aca="false">IFERROR(IF(G376="","",M376/G376),"")</f>
        <v/>
      </c>
      <c r="O376" s="39"/>
      <c r="P376" s="39"/>
      <c r="Q376" s="39"/>
      <c r="R376" s="39"/>
      <c r="S376" s="48" t="n">
        <f aca="false">IFERROR(VLOOKUP(H376,Settings!B14:C25,2,FALSE()),0)</f>
        <v>0</v>
      </c>
    </row>
    <row r="377" customFormat="false" ht="15" hidden="false" customHeight="false" outlineLevel="0" collapsed="false">
      <c r="A377" s="41" t="str">
        <f aca="false">IF(B377="","",ROW()-3)</f>
        <v/>
      </c>
      <c r="B377" s="42"/>
      <c r="G377" s="44"/>
      <c r="I377" s="44" t="n">
        <f aca="false">IF(G377="",0,G377*S377)</f>
        <v>0</v>
      </c>
      <c r="J377" s="44"/>
      <c r="K377" s="44" t="n">
        <f aca="false">IF(G377="",0,G377-I377-IF(J377="",0,J377))</f>
        <v>0</v>
      </c>
      <c r="L377" s="44" t="n">
        <f aca="false">IF(O377="",0,IFERROR(INDEX(Purchases!I:I,MATCH(O377*1,Purchases!A:A,0)),0))</f>
        <v>0</v>
      </c>
      <c r="M377" s="44" t="n">
        <f aca="false">IF(G377="",0,K377-L377)</f>
        <v>0</v>
      </c>
      <c r="N377" s="49" t="str">
        <f aca="false">IFERROR(IF(G377="","",M377/G377),"")</f>
        <v/>
      </c>
      <c r="S377" s="49" t="n">
        <f aca="false">IFERROR(VLOOKUP(H377,Settings!B14:C25,2,FALSE()),0)</f>
        <v>0</v>
      </c>
    </row>
    <row r="378" customFormat="false" ht="15" hidden="false" customHeight="false" outlineLevel="0" collapsed="false">
      <c r="A378" s="37" t="str">
        <f aca="false">IF(B378="","",ROW()-3)</f>
        <v/>
      </c>
      <c r="B378" s="38"/>
      <c r="C378" s="39"/>
      <c r="D378" s="39"/>
      <c r="E378" s="39"/>
      <c r="F378" s="39"/>
      <c r="G378" s="40"/>
      <c r="H378" s="39"/>
      <c r="I378" s="40" t="n">
        <f aca="false">IF(G378="",0,G378*S378)</f>
        <v>0</v>
      </c>
      <c r="J378" s="40"/>
      <c r="K378" s="40" t="n">
        <f aca="false">IF(G378="",0,G378-I378-IF(J378="",0,J378))</f>
        <v>0</v>
      </c>
      <c r="L378" s="40" t="n">
        <f aca="false">IF(O378="",0,IFERROR(INDEX(Purchases!I:I,MATCH(O378*1,Purchases!A:A,0)),0))</f>
        <v>0</v>
      </c>
      <c r="M378" s="40" t="n">
        <f aca="false">IF(G378="",0,K378-L378)</f>
        <v>0</v>
      </c>
      <c r="N378" s="48" t="str">
        <f aca="false">IFERROR(IF(G378="","",M378/G378),"")</f>
        <v/>
      </c>
      <c r="O378" s="39"/>
      <c r="P378" s="39"/>
      <c r="Q378" s="39"/>
      <c r="R378" s="39"/>
      <c r="S378" s="48" t="n">
        <f aca="false">IFERROR(VLOOKUP(H378,Settings!B14:C25,2,FALSE()),0)</f>
        <v>0</v>
      </c>
    </row>
    <row r="379" customFormat="false" ht="15" hidden="false" customHeight="false" outlineLevel="0" collapsed="false">
      <c r="A379" s="41" t="str">
        <f aca="false">IF(B379="","",ROW()-3)</f>
        <v/>
      </c>
      <c r="B379" s="42"/>
      <c r="G379" s="44"/>
      <c r="I379" s="44" t="n">
        <f aca="false">IF(G379="",0,G379*S379)</f>
        <v>0</v>
      </c>
      <c r="J379" s="44"/>
      <c r="K379" s="44" t="n">
        <f aca="false">IF(G379="",0,G379-I379-IF(J379="",0,J379))</f>
        <v>0</v>
      </c>
      <c r="L379" s="44" t="n">
        <f aca="false">IF(O379="",0,IFERROR(INDEX(Purchases!I:I,MATCH(O379*1,Purchases!A:A,0)),0))</f>
        <v>0</v>
      </c>
      <c r="M379" s="44" t="n">
        <f aca="false">IF(G379="",0,K379-L379)</f>
        <v>0</v>
      </c>
      <c r="N379" s="49" t="str">
        <f aca="false">IFERROR(IF(G379="","",M379/G379),"")</f>
        <v/>
      </c>
      <c r="S379" s="49" t="n">
        <f aca="false">IFERROR(VLOOKUP(H379,Settings!B14:C25,2,FALSE()),0)</f>
        <v>0</v>
      </c>
    </row>
    <row r="380" customFormat="false" ht="15" hidden="false" customHeight="false" outlineLevel="0" collapsed="false">
      <c r="A380" s="37" t="str">
        <f aca="false">IF(B380="","",ROW()-3)</f>
        <v/>
      </c>
      <c r="B380" s="38"/>
      <c r="C380" s="39"/>
      <c r="D380" s="39"/>
      <c r="E380" s="39"/>
      <c r="F380" s="39"/>
      <c r="G380" s="40"/>
      <c r="H380" s="39"/>
      <c r="I380" s="40" t="n">
        <f aca="false">IF(G380="",0,G380*S380)</f>
        <v>0</v>
      </c>
      <c r="J380" s="40"/>
      <c r="K380" s="40" t="n">
        <f aca="false">IF(G380="",0,G380-I380-IF(J380="",0,J380))</f>
        <v>0</v>
      </c>
      <c r="L380" s="40" t="n">
        <f aca="false">IF(O380="",0,IFERROR(INDEX(Purchases!I:I,MATCH(O380*1,Purchases!A:A,0)),0))</f>
        <v>0</v>
      </c>
      <c r="M380" s="40" t="n">
        <f aca="false">IF(G380="",0,K380-L380)</f>
        <v>0</v>
      </c>
      <c r="N380" s="48" t="str">
        <f aca="false">IFERROR(IF(G380="","",M380/G380),"")</f>
        <v/>
      </c>
      <c r="O380" s="39"/>
      <c r="P380" s="39"/>
      <c r="Q380" s="39"/>
      <c r="R380" s="39"/>
      <c r="S380" s="48" t="n">
        <f aca="false">IFERROR(VLOOKUP(H380,Settings!B14:C25,2,FALSE()),0)</f>
        <v>0</v>
      </c>
    </row>
    <row r="381" customFormat="false" ht="15" hidden="false" customHeight="false" outlineLevel="0" collapsed="false">
      <c r="A381" s="41" t="str">
        <f aca="false">IF(B381="","",ROW()-3)</f>
        <v/>
      </c>
      <c r="B381" s="42"/>
      <c r="G381" s="44"/>
      <c r="I381" s="44" t="n">
        <f aca="false">IF(G381="",0,G381*S381)</f>
        <v>0</v>
      </c>
      <c r="J381" s="44"/>
      <c r="K381" s="44" t="n">
        <f aca="false">IF(G381="",0,G381-I381-IF(J381="",0,J381))</f>
        <v>0</v>
      </c>
      <c r="L381" s="44" t="n">
        <f aca="false">IF(O381="",0,IFERROR(INDEX(Purchases!I:I,MATCH(O381*1,Purchases!A:A,0)),0))</f>
        <v>0</v>
      </c>
      <c r="M381" s="44" t="n">
        <f aca="false">IF(G381="",0,K381-L381)</f>
        <v>0</v>
      </c>
      <c r="N381" s="49" t="str">
        <f aca="false">IFERROR(IF(G381="","",M381/G381),"")</f>
        <v/>
      </c>
      <c r="S381" s="49" t="n">
        <f aca="false">IFERROR(VLOOKUP(H381,Settings!B14:C25,2,FALSE()),0)</f>
        <v>0</v>
      </c>
    </row>
    <row r="382" customFormat="false" ht="15" hidden="false" customHeight="false" outlineLevel="0" collapsed="false">
      <c r="A382" s="37" t="str">
        <f aca="false">IF(B382="","",ROW()-3)</f>
        <v/>
      </c>
      <c r="B382" s="38"/>
      <c r="C382" s="39"/>
      <c r="D382" s="39"/>
      <c r="E382" s="39"/>
      <c r="F382" s="39"/>
      <c r="G382" s="40"/>
      <c r="H382" s="39"/>
      <c r="I382" s="40" t="n">
        <f aca="false">IF(G382="",0,G382*S382)</f>
        <v>0</v>
      </c>
      <c r="J382" s="40"/>
      <c r="K382" s="40" t="n">
        <f aca="false">IF(G382="",0,G382-I382-IF(J382="",0,J382))</f>
        <v>0</v>
      </c>
      <c r="L382" s="40" t="n">
        <f aca="false">IF(O382="",0,IFERROR(INDEX(Purchases!I:I,MATCH(O382*1,Purchases!A:A,0)),0))</f>
        <v>0</v>
      </c>
      <c r="M382" s="40" t="n">
        <f aca="false">IF(G382="",0,K382-L382)</f>
        <v>0</v>
      </c>
      <c r="N382" s="48" t="str">
        <f aca="false">IFERROR(IF(G382="","",M382/G382),"")</f>
        <v/>
      </c>
      <c r="O382" s="39"/>
      <c r="P382" s="39"/>
      <c r="Q382" s="39"/>
      <c r="R382" s="39"/>
      <c r="S382" s="48" t="n">
        <f aca="false">IFERROR(VLOOKUP(H382,Settings!B14:C25,2,FALSE()),0)</f>
        <v>0</v>
      </c>
    </row>
    <row r="383" customFormat="false" ht="15" hidden="false" customHeight="false" outlineLevel="0" collapsed="false">
      <c r="A383" s="41" t="str">
        <f aca="false">IF(B383="","",ROW()-3)</f>
        <v/>
      </c>
      <c r="B383" s="42"/>
      <c r="G383" s="44"/>
      <c r="I383" s="44" t="n">
        <f aca="false">IF(G383="",0,G383*S383)</f>
        <v>0</v>
      </c>
      <c r="J383" s="44"/>
      <c r="K383" s="44" t="n">
        <f aca="false">IF(G383="",0,G383-I383-IF(J383="",0,J383))</f>
        <v>0</v>
      </c>
      <c r="L383" s="44" t="n">
        <f aca="false">IF(O383="",0,IFERROR(INDEX(Purchases!I:I,MATCH(O383*1,Purchases!A:A,0)),0))</f>
        <v>0</v>
      </c>
      <c r="M383" s="44" t="n">
        <f aca="false">IF(G383="",0,K383-L383)</f>
        <v>0</v>
      </c>
      <c r="N383" s="49" t="str">
        <f aca="false">IFERROR(IF(G383="","",M383/G383),"")</f>
        <v/>
      </c>
      <c r="S383" s="49" t="n">
        <f aca="false">IFERROR(VLOOKUP(H383,Settings!B14:C25,2,FALSE()),0)</f>
        <v>0</v>
      </c>
    </row>
    <row r="384" customFormat="false" ht="15" hidden="false" customHeight="false" outlineLevel="0" collapsed="false">
      <c r="A384" s="37" t="str">
        <f aca="false">IF(B384="","",ROW()-3)</f>
        <v/>
      </c>
      <c r="B384" s="38"/>
      <c r="C384" s="39"/>
      <c r="D384" s="39"/>
      <c r="E384" s="39"/>
      <c r="F384" s="39"/>
      <c r="G384" s="40"/>
      <c r="H384" s="39"/>
      <c r="I384" s="40" t="n">
        <f aca="false">IF(G384="",0,G384*S384)</f>
        <v>0</v>
      </c>
      <c r="J384" s="40"/>
      <c r="K384" s="40" t="n">
        <f aca="false">IF(G384="",0,G384-I384-IF(J384="",0,J384))</f>
        <v>0</v>
      </c>
      <c r="L384" s="40" t="n">
        <f aca="false">IF(O384="",0,IFERROR(INDEX(Purchases!I:I,MATCH(O384*1,Purchases!A:A,0)),0))</f>
        <v>0</v>
      </c>
      <c r="M384" s="40" t="n">
        <f aca="false">IF(G384="",0,K384-L384)</f>
        <v>0</v>
      </c>
      <c r="N384" s="48" t="str">
        <f aca="false">IFERROR(IF(G384="","",M384/G384),"")</f>
        <v/>
      </c>
      <c r="O384" s="39"/>
      <c r="P384" s="39"/>
      <c r="Q384" s="39"/>
      <c r="R384" s="39"/>
      <c r="S384" s="48" t="n">
        <f aca="false">IFERROR(VLOOKUP(H384,Settings!B14:C25,2,FALSE()),0)</f>
        <v>0</v>
      </c>
    </row>
    <row r="385" customFormat="false" ht="15" hidden="false" customHeight="false" outlineLevel="0" collapsed="false">
      <c r="A385" s="41" t="str">
        <f aca="false">IF(B385="","",ROW()-3)</f>
        <v/>
      </c>
      <c r="B385" s="42"/>
      <c r="G385" s="44"/>
      <c r="I385" s="44" t="n">
        <f aca="false">IF(G385="",0,G385*S385)</f>
        <v>0</v>
      </c>
      <c r="J385" s="44"/>
      <c r="K385" s="44" t="n">
        <f aca="false">IF(G385="",0,G385-I385-IF(J385="",0,J385))</f>
        <v>0</v>
      </c>
      <c r="L385" s="44" t="n">
        <f aca="false">IF(O385="",0,IFERROR(INDEX(Purchases!I:I,MATCH(O385*1,Purchases!A:A,0)),0))</f>
        <v>0</v>
      </c>
      <c r="M385" s="44" t="n">
        <f aca="false">IF(G385="",0,K385-L385)</f>
        <v>0</v>
      </c>
      <c r="N385" s="49" t="str">
        <f aca="false">IFERROR(IF(G385="","",M385/G385),"")</f>
        <v/>
      </c>
      <c r="S385" s="49" t="n">
        <f aca="false">IFERROR(VLOOKUP(H385,Settings!B14:C25,2,FALSE()),0)</f>
        <v>0</v>
      </c>
    </row>
    <row r="386" customFormat="false" ht="15" hidden="false" customHeight="false" outlineLevel="0" collapsed="false">
      <c r="A386" s="37" t="str">
        <f aca="false">IF(B386="","",ROW()-3)</f>
        <v/>
      </c>
      <c r="B386" s="38"/>
      <c r="C386" s="39"/>
      <c r="D386" s="39"/>
      <c r="E386" s="39"/>
      <c r="F386" s="39"/>
      <c r="G386" s="40"/>
      <c r="H386" s="39"/>
      <c r="I386" s="40" t="n">
        <f aca="false">IF(G386="",0,G386*S386)</f>
        <v>0</v>
      </c>
      <c r="J386" s="40"/>
      <c r="K386" s="40" t="n">
        <f aca="false">IF(G386="",0,G386-I386-IF(J386="",0,J386))</f>
        <v>0</v>
      </c>
      <c r="L386" s="40" t="n">
        <f aca="false">IF(O386="",0,IFERROR(INDEX(Purchases!I:I,MATCH(O386*1,Purchases!A:A,0)),0))</f>
        <v>0</v>
      </c>
      <c r="M386" s="40" t="n">
        <f aca="false">IF(G386="",0,K386-L386)</f>
        <v>0</v>
      </c>
      <c r="N386" s="48" t="str">
        <f aca="false">IFERROR(IF(G386="","",M386/G386),"")</f>
        <v/>
      </c>
      <c r="O386" s="39"/>
      <c r="P386" s="39"/>
      <c r="Q386" s="39"/>
      <c r="R386" s="39"/>
      <c r="S386" s="48" t="n">
        <f aca="false">IFERROR(VLOOKUP(H386,Settings!B14:C25,2,FALSE()),0)</f>
        <v>0</v>
      </c>
    </row>
    <row r="387" customFormat="false" ht="15" hidden="false" customHeight="false" outlineLevel="0" collapsed="false">
      <c r="A387" s="41" t="str">
        <f aca="false">IF(B387="","",ROW()-3)</f>
        <v/>
      </c>
      <c r="B387" s="42"/>
      <c r="G387" s="44"/>
      <c r="I387" s="44" t="n">
        <f aca="false">IF(G387="",0,G387*S387)</f>
        <v>0</v>
      </c>
      <c r="J387" s="44"/>
      <c r="K387" s="44" t="n">
        <f aca="false">IF(G387="",0,G387-I387-IF(J387="",0,J387))</f>
        <v>0</v>
      </c>
      <c r="L387" s="44" t="n">
        <f aca="false">IF(O387="",0,IFERROR(INDEX(Purchases!I:I,MATCH(O387*1,Purchases!A:A,0)),0))</f>
        <v>0</v>
      </c>
      <c r="M387" s="44" t="n">
        <f aca="false">IF(G387="",0,K387-L387)</f>
        <v>0</v>
      </c>
      <c r="N387" s="49" t="str">
        <f aca="false">IFERROR(IF(G387="","",M387/G387),"")</f>
        <v/>
      </c>
      <c r="S387" s="49" t="n">
        <f aca="false">IFERROR(VLOOKUP(H387,Settings!B14:C25,2,FALSE()),0)</f>
        <v>0</v>
      </c>
    </row>
    <row r="388" customFormat="false" ht="15" hidden="false" customHeight="false" outlineLevel="0" collapsed="false">
      <c r="A388" s="37" t="str">
        <f aca="false">IF(B388="","",ROW()-3)</f>
        <v/>
      </c>
      <c r="B388" s="38"/>
      <c r="C388" s="39"/>
      <c r="D388" s="39"/>
      <c r="E388" s="39"/>
      <c r="F388" s="39"/>
      <c r="G388" s="40"/>
      <c r="H388" s="39"/>
      <c r="I388" s="40" t="n">
        <f aca="false">IF(G388="",0,G388*S388)</f>
        <v>0</v>
      </c>
      <c r="J388" s="40"/>
      <c r="K388" s="40" t="n">
        <f aca="false">IF(G388="",0,G388-I388-IF(J388="",0,J388))</f>
        <v>0</v>
      </c>
      <c r="L388" s="40" t="n">
        <f aca="false">IF(O388="",0,IFERROR(INDEX(Purchases!I:I,MATCH(O388*1,Purchases!A:A,0)),0))</f>
        <v>0</v>
      </c>
      <c r="M388" s="40" t="n">
        <f aca="false">IF(G388="",0,K388-L388)</f>
        <v>0</v>
      </c>
      <c r="N388" s="48" t="str">
        <f aca="false">IFERROR(IF(G388="","",M388/G388),"")</f>
        <v/>
      </c>
      <c r="O388" s="39"/>
      <c r="P388" s="39"/>
      <c r="Q388" s="39"/>
      <c r="R388" s="39"/>
      <c r="S388" s="48" t="n">
        <f aca="false">IFERROR(VLOOKUP(H388,Settings!B14:C25,2,FALSE()),0)</f>
        <v>0</v>
      </c>
    </row>
    <row r="389" customFormat="false" ht="15" hidden="false" customHeight="false" outlineLevel="0" collapsed="false">
      <c r="A389" s="41" t="str">
        <f aca="false">IF(B389="","",ROW()-3)</f>
        <v/>
      </c>
      <c r="B389" s="42"/>
      <c r="G389" s="44"/>
      <c r="I389" s="44" t="n">
        <f aca="false">IF(G389="",0,G389*S389)</f>
        <v>0</v>
      </c>
      <c r="J389" s="44"/>
      <c r="K389" s="44" t="n">
        <f aca="false">IF(G389="",0,G389-I389-IF(J389="",0,J389))</f>
        <v>0</v>
      </c>
      <c r="L389" s="44" t="n">
        <f aca="false">IF(O389="",0,IFERROR(INDEX(Purchases!I:I,MATCH(O389*1,Purchases!A:A,0)),0))</f>
        <v>0</v>
      </c>
      <c r="M389" s="44" t="n">
        <f aca="false">IF(G389="",0,K389-L389)</f>
        <v>0</v>
      </c>
      <c r="N389" s="49" t="str">
        <f aca="false">IFERROR(IF(G389="","",M389/G389),"")</f>
        <v/>
      </c>
      <c r="S389" s="49" t="n">
        <f aca="false">IFERROR(VLOOKUP(H389,Settings!B14:C25,2,FALSE()),0)</f>
        <v>0</v>
      </c>
    </row>
    <row r="390" customFormat="false" ht="15" hidden="false" customHeight="false" outlineLevel="0" collapsed="false">
      <c r="A390" s="37" t="str">
        <f aca="false">IF(B390="","",ROW()-3)</f>
        <v/>
      </c>
      <c r="B390" s="38"/>
      <c r="C390" s="39"/>
      <c r="D390" s="39"/>
      <c r="E390" s="39"/>
      <c r="F390" s="39"/>
      <c r="G390" s="40"/>
      <c r="H390" s="39"/>
      <c r="I390" s="40" t="n">
        <f aca="false">IF(G390="",0,G390*S390)</f>
        <v>0</v>
      </c>
      <c r="J390" s="40"/>
      <c r="K390" s="40" t="n">
        <f aca="false">IF(G390="",0,G390-I390-IF(J390="",0,J390))</f>
        <v>0</v>
      </c>
      <c r="L390" s="40" t="n">
        <f aca="false">IF(O390="",0,IFERROR(INDEX(Purchases!I:I,MATCH(O390*1,Purchases!A:A,0)),0))</f>
        <v>0</v>
      </c>
      <c r="M390" s="40" t="n">
        <f aca="false">IF(G390="",0,K390-L390)</f>
        <v>0</v>
      </c>
      <c r="N390" s="48" t="str">
        <f aca="false">IFERROR(IF(G390="","",M390/G390),"")</f>
        <v/>
      </c>
      <c r="O390" s="39"/>
      <c r="P390" s="39"/>
      <c r="Q390" s="39"/>
      <c r="R390" s="39"/>
      <c r="S390" s="48" t="n">
        <f aca="false">IFERROR(VLOOKUP(H390,Settings!B14:C25,2,FALSE()),0)</f>
        <v>0</v>
      </c>
    </row>
    <row r="391" customFormat="false" ht="15" hidden="false" customHeight="false" outlineLevel="0" collapsed="false">
      <c r="A391" s="41" t="str">
        <f aca="false">IF(B391="","",ROW()-3)</f>
        <v/>
      </c>
      <c r="B391" s="42"/>
      <c r="G391" s="44"/>
      <c r="I391" s="44" t="n">
        <f aca="false">IF(G391="",0,G391*S391)</f>
        <v>0</v>
      </c>
      <c r="J391" s="44"/>
      <c r="K391" s="44" t="n">
        <f aca="false">IF(G391="",0,G391-I391-IF(J391="",0,J391))</f>
        <v>0</v>
      </c>
      <c r="L391" s="44" t="n">
        <f aca="false">IF(O391="",0,IFERROR(INDEX(Purchases!I:I,MATCH(O391*1,Purchases!A:A,0)),0))</f>
        <v>0</v>
      </c>
      <c r="M391" s="44" t="n">
        <f aca="false">IF(G391="",0,K391-L391)</f>
        <v>0</v>
      </c>
      <c r="N391" s="49" t="str">
        <f aca="false">IFERROR(IF(G391="","",M391/G391),"")</f>
        <v/>
      </c>
      <c r="S391" s="49" t="n">
        <f aca="false">IFERROR(VLOOKUP(H391,Settings!B14:C25,2,FALSE()),0)</f>
        <v>0</v>
      </c>
    </row>
    <row r="392" customFormat="false" ht="15" hidden="false" customHeight="false" outlineLevel="0" collapsed="false">
      <c r="A392" s="37" t="str">
        <f aca="false">IF(B392="","",ROW()-3)</f>
        <v/>
      </c>
      <c r="B392" s="38"/>
      <c r="C392" s="39"/>
      <c r="D392" s="39"/>
      <c r="E392" s="39"/>
      <c r="F392" s="39"/>
      <c r="G392" s="40"/>
      <c r="H392" s="39"/>
      <c r="I392" s="40" t="n">
        <f aca="false">IF(G392="",0,G392*S392)</f>
        <v>0</v>
      </c>
      <c r="J392" s="40"/>
      <c r="K392" s="40" t="n">
        <f aca="false">IF(G392="",0,G392-I392-IF(J392="",0,J392))</f>
        <v>0</v>
      </c>
      <c r="L392" s="40" t="n">
        <f aca="false">IF(O392="",0,IFERROR(INDEX(Purchases!I:I,MATCH(O392*1,Purchases!A:A,0)),0))</f>
        <v>0</v>
      </c>
      <c r="M392" s="40" t="n">
        <f aca="false">IF(G392="",0,K392-L392)</f>
        <v>0</v>
      </c>
      <c r="N392" s="48" t="str">
        <f aca="false">IFERROR(IF(G392="","",M392/G392),"")</f>
        <v/>
      </c>
      <c r="O392" s="39"/>
      <c r="P392" s="39"/>
      <c r="Q392" s="39"/>
      <c r="R392" s="39"/>
      <c r="S392" s="48" t="n">
        <f aca="false">IFERROR(VLOOKUP(H392,Settings!B14:C25,2,FALSE()),0)</f>
        <v>0</v>
      </c>
    </row>
    <row r="393" customFormat="false" ht="15" hidden="false" customHeight="false" outlineLevel="0" collapsed="false">
      <c r="A393" s="41" t="str">
        <f aca="false">IF(B393="","",ROW()-3)</f>
        <v/>
      </c>
      <c r="B393" s="42"/>
      <c r="G393" s="44"/>
      <c r="I393" s="44" t="n">
        <f aca="false">IF(G393="",0,G393*S393)</f>
        <v>0</v>
      </c>
      <c r="J393" s="44"/>
      <c r="K393" s="44" t="n">
        <f aca="false">IF(G393="",0,G393-I393-IF(J393="",0,J393))</f>
        <v>0</v>
      </c>
      <c r="L393" s="44" t="n">
        <f aca="false">IF(O393="",0,IFERROR(INDEX(Purchases!I:I,MATCH(O393*1,Purchases!A:A,0)),0))</f>
        <v>0</v>
      </c>
      <c r="M393" s="44" t="n">
        <f aca="false">IF(G393="",0,K393-L393)</f>
        <v>0</v>
      </c>
      <c r="N393" s="49" t="str">
        <f aca="false">IFERROR(IF(G393="","",M393/G393),"")</f>
        <v/>
      </c>
      <c r="S393" s="49" t="n">
        <f aca="false">IFERROR(VLOOKUP(H393,Settings!B14:C25,2,FALSE()),0)</f>
        <v>0</v>
      </c>
    </row>
    <row r="394" customFormat="false" ht="15" hidden="false" customHeight="false" outlineLevel="0" collapsed="false">
      <c r="A394" s="37" t="str">
        <f aca="false">IF(B394="","",ROW()-3)</f>
        <v/>
      </c>
      <c r="B394" s="38"/>
      <c r="C394" s="39"/>
      <c r="D394" s="39"/>
      <c r="E394" s="39"/>
      <c r="F394" s="39"/>
      <c r="G394" s="40"/>
      <c r="H394" s="39"/>
      <c r="I394" s="40" t="n">
        <f aca="false">IF(G394="",0,G394*S394)</f>
        <v>0</v>
      </c>
      <c r="J394" s="40"/>
      <c r="K394" s="40" t="n">
        <f aca="false">IF(G394="",0,G394-I394-IF(J394="",0,J394))</f>
        <v>0</v>
      </c>
      <c r="L394" s="40" t="n">
        <f aca="false">IF(O394="",0,IFERROR(INDEX(Purchases!I:I,MATCH(O394*1,Purchases!A:A,0)),0))</f>
        <v>0</v>
      </c>
      <c r="M394" s="40" t="n">
        <f aca="false">IF(G394="",0,K394-L394)</f>
        <v>0</v>
      </c>
      <c r="N394" s="48" t="str">
        <f aca="false">IFERROR(IF(G394="","",M394/G394),"")</f>
        <v/>
      </c>
      <c r="O394" s="39"/>
      <c r="P394" s="39"/>
      <c r="Q394" s="39"/>
      <c r="R394" s="39"/>
      <c r="S394" s="48" t="n">
        <f aca="false">IFERROR(VLOOKUP(H394,Settings!B14:C25,2,FALSE()),0)</f>
        <v>0</v>
      </c>
    </row>
    <row r="395" customFormat="false" ht="15" hidden="false" customHeight="false" outlineLevel="0" collapsed="false">
      <c r="A395" s="41" t="str">
        <f aca="false">IF(B395="","",ROW()-3)</f>
        <v/>
      </c>
      <c r="B395" s="42"/>
      <c r="G395" s="44"/>
      <c r="I395" s="44" t="n">
        <f aca="false">IF(G395="",0,G395*S395)</f>
        <v>0</v>
      </c>
      <c r="J395" s="44"/>
      <c r="K395" s="44" t="n">
        <f aca="false">IF(G395="",0,G395-I395-IF(J395="",0,J395))</f>
        <v>0</v>
      </c>
      <c r="L395" s="44" t="n">
        <f aca="false">IF(O395="",0,IFERROR(INDEX(Purchases!I:I,MATCH(O395*1,Purchases!A:A,0)),0))</f>
        <v>0</v>
      </c>
      <c r="M395" s="44" t="n">
        <f aca="false">IF(G395="",0,K395-L395)</f>
        <v>0</v>
      </c>
      <c r="N395" s="49" t="str">
        <f aca="false">IFERROR(IF(G395="","",M395/G395),"")</f>
        <v/>
      </c>
      <c r="S395" s="49" t="n">
        <f aca="false">IFERROR(VLOOKUP(H395,Settings!B14:C25,2,FALSE()),0)</f>
        <v>0</v>
      </c>
    </row>
    <row r="396" customFormat="false" ht="15" hidden="false" customHeight="false" outlineLevel="0" collapsed="false">
      <c r="A396" s="37" t="str">
        <f aca="false">IF(B396="","",ROW()-3)</f>
        <v/>
      </c>
      <c r="B396" s="38"/>
      <c r="C396" s="39"/>
      <c r="D396" s="39"/>
      <c r="E396" s="39"/>
      <c r="F396" s="39"/>
      <c r="G396" s="40"/>
      <c r="H396" s="39"/>
      <c r="I396" s="40" t="n">
        <f aca="false">IF(G396="",0,G396*S396)</f>
        <v>0</v>
      </c>
      <c r="J396" s="40"/>
      <c r="K396" s="40" t="n">
        <f aca="false">IF(G396="",0,G396-I396-IF(J396="",0,J396))</f>
        <v>0</v>
      </c>
      <c r="L396" s="40" t="n">
        <f aca="false">IF(O396="",0,IFERROR(INDEX(Purchases!I:I,MATCH(O396*1,Purchases!A:A,0)),0))</f>
        <v>0</v>
      </c>
      <c r="M396" s="40" t="n">
        <f aca="false">IF(G396="",0,K396-L396)</f>
        <v>0</v>
      </c>
      <c r="N396" s="48" t="str">
        <f aca="false">IFERROR(IF(G396="","",M396/G396),"")</f>
        <v/>
      </c>
      <c r="O396" s="39"/>
      <c r="P396" s="39"/>
      <c r="Q396" s="39"/>
      <c r="R396" s="39"/>
      <c r="S396" s="48" t="n">
        <f aca="false">IFERROR(VLOOKUP(H396,Settings!B14:C25,2,FALSE()),0)</f>
        <v>0</v>
      </c>
    </row>
    <row r="397" customFormat="false" ht="15" hidden="false" customHeight="false" outlineLevel="0" collapsed="false">
      <c r="A397" s="41" t="str">
        <f aca="false">IF(B397="","",ROW()-3)</f>
        <v/>
      </c>
      <c r="B397" s="42"/>
      <c r="G397" s="44"/>
      <c r="I397" s="44" t="n">
        <f aca="false">IF(G397="",0,G397*S397)</f>
        <v>0</v>
      </c>
      <c r="J397" s="44"/>
      <c r="K397" s="44" t="n">
        <f aca="false">IF(G397="",0,G397-I397-IF(J397="",0,J397))</f>
        <v>0</v>
      </c>
      <c r="L397" s="44" t="n">
        <f aca="false">IF(O397="",0,IFERROR(INDEX(Purchases!I:I,MATCH(O397*1,Purchases!A:A,0)),0))</f>
        <v>0</v>
      </c>
      <c r="M397" s="44" t="n">
        <f aca="false">IF(G397="",0,K397-L397)</f>
        <v>0</v>
      </c>
      <c r="N397" s="49" t="str">
        <f aca="false">IFERROR(IF(G397="","",M397/G397),"")</f>
        <v/>
      </c>
      <c r="S397" s="49" t="n">
        <f aca="false">IFERROR(VLOOKUP(H397,Settings!B14:C25,2,FALSE()),0)</f>
        <v>0</v>
      </c>
    </row>
    <row r="398" customFormat="false" ht="15" hidden="false" customHeight="false" outlineLevel="0" collapsed="false">
      <c r="A398" s="37" t="str">
        <f aca="false">IF(B398="","",ROW()-3)</f>
        <v/>
      </c>
      <c r="B398" s="38"/>
      <c r="C398" s="39"/>
      <c r="D398" s="39"/>
      <c r="E398" s="39"/>
      <c r="F398" s="39"/>
      <c r="G398" s="40"/>
      <c r="H398" s="39"/>
      <c r="I398" s="40" t="n">
        <f aca="false">IF(G398="",0,G398*S398)</f>
        <v>0</v>
      </c>
      <c r="J398" s="40"/>
      <c r="K398" s="40" t="n">
        <f aca="false">IF(G398="",0,G398-I398-IF(J398="",0,J398))</f>
        <v>0</v>
      </c>
      <c r="L398" s="40" t="n">
        <f aca="false">IF(O398="",0,IFERROR(INDEX(Purchases!I:I,MATCH(O398*1,Purchases!A:A,0)),0))</f>
        <v>0</v>
      </c>
      <c r="M398" s="40" t="n">
        <f aca="false">IF(G398="",0,K398-L398)</f>
        <v>0</v>
      </c>
      <c r="N398" s="48" t="str">
        <f aca="false">IFERROR(IF(G398="","",M398/G398),"")</f>
        <v/>
      </c>
      <c r="O398" s="39"/>
      <c r="P398" s="39"/>
      <c r="Q398" s="39"/>
      <c r="R398" s="39"/>
      <c r="S398" s="48" t="n">
        <f aca="false">IFERROR(VLOOKUP(H398,Settings!B14:C25,2,FALSE()),0)</f>
        <v>0</v>
      </c>
    </row>
    <row r="399" customFormat="false" ht="15" hidden="false" customHeight="false" outlineLevel="0" collapsed="false">
      <c r="A399" s="41" t="str">
        <f aca="false">IF(B399="","",ROW()-3)</f>
        <v/>
      </c>
      <c r="B399" s="42"/>
      <c r="G399" s="44"/>
      <c r="I399" s="44" t="n">
        <f aca="false">IF(G399="",0,G399*S399)</f>
        <v>0</v>
      </c>
      <c r="J399" s="44"/>
      <c r="K399" s="44" t="n">
        <f aca="false">IF(G399="",0,G399-I399-IF(J399="",0,J399))</f>
        <v>0</v>
      </c>
      <c r="L399" s="44" t="n">
        <f aca="false">IF(O399="",0,IFERROR(INDEX(Purchases!I:I,MATCH(O399*1,Purchases!A:A,0)),0))</f>
        <v>0</v>
      </c>
      <c r="M399" s="44" t="n">
        <f aca="false">IF(G399="",0,K399-L399)</f>
        <v>0</v>
      </c>
      <c r="N399" s="49" t="str">
        <f aca="false">IFERROR(IF(G399="","",M399/G399),"")</f>
        <v/>
      </c>
      <c r="S399" s="49" t="n">
        <f aca="false">IFERROR(VLOOKUP(H399,Settings!B14:C25,2,FALSE()),0)</f>
        <v>0</v>
      </c>
    </row>
    <row r="400" customFormat="false" ht="15" hidden="false" customHeight="false" outlineLevel="0" collapsed="false">
      <c r="A400" s="37" t="str">
        <f aca="false">IF(B400="","",ROW()-3)</f>
        <v/>
      </c>
      <c r="B400" s="38"/>
      <c r="C400" s="39"/>
      <c r="D400" s="39"/>
      <c r="E400" s="39"/>
      <c r="F400" s="39"/>
      <c r="G400" s="40"/>
      <c r="H400" s="39"/>
      <c r="I400" s="40" t="n">
        <f aca="false">IF(G400="",0,G400*S400)</f>
        <v>0</v>
      </c>
      <c r="J400" s="40"/>
      <c r="K400" s="40" t="n">
        <f aca="false">IF(G400="",0,G400-I400-IF(J400="",0,J400))</f>
        <v>0</v>
      </c>
      <c r="L400" s="40" t="n">
        <f aca="false">IF(O400="",0,IFERROR(INDEX(Purchases!I:I,MATCH(O400*1,Purchases!A:A,0)),0))</f>
        <v>0</v>
      </c>
      <c r="M400" s="40" t="n">
        <f aca="false">IF(G400="",0,K400-L400)</f>
        <v>0</v>
      </c>
      <c r="N400" s="48" t="str">
        <f aca="false">IFERROR(IF(G400="","",M400/G400),"")</f>
        <v/>
      </c>
      <c r="O400" s="39"/>
      <c r="P400" s="39"/>
      <c r="Q400" s="39"/>
      <c r="R400" s="39"/>
      <c r="S400" s="48" t="n">
        <f aca="false">IFERROR(VLOOKUP(H400,Settings!B14:C25,2,FALSE()),0)</f>
        <v>0</v>
      </c>
    </row>
    <row r="401" customFormat="false" ht="15" hidden="false" customHeight="false" outlineLevel="0" collapsed="false">
      <c r="A401" s="41" t="str">
        <f aca="false">IF(B401="","",ROW()-3)</f>
        <v/>
      </c>
      <c r="B401" s="42"/>
      <c r="G401" s="44"/>
      <c r="I401" s="44" t="n">
        <f aca="false">IF(G401="",0,G401*S401)</f>
        <v>0</v>
      </c>
      <c r="J401" s="44"/>
      <c r="K401" s="44" t="n">
        <f aca="false">IF(G401="",0,G401-I401-IF(J401="",0,J401))</f>
        <v>0</v>
      </c>
      <c r="L401" s="44" t="n">
        <f aca="false">IF(O401="",0,IFERROR(INDEX(Purchases!I:I,MATCH(O401*1,Purchases!A:A,0)),0))</f>
        <v>0</v>
      </c>
      <c r="M401" s="44" t="n">
        <f aca="false">IF(G401="",0,K401-L401)</f>
        <v>0</v>
      </c>
      <c r="N401" s="49" t="str">
        <f aca="false">IFERROR(IF(G401="","",M401/G401),"")</f>
        <v/>
      </c>
      <c r="S401" s="49" t="n">
        <f aca="false">IFERROR(VLOOKUP(H401,Settings!B14:C25,2,FALSE()),0)</f>
        <v>0</v>
      </c>
    </row>
    <row r="402" customFormat="false" ht="15" hidden="false" customHeight="false" outlineLevel="0" collapsed="false">
      <c r="A402" s="37" t="str">
        <f aca="false">IF(B402="","",ROW()-3)</f>
        <v/>
      </c>
      <c r="B402" s="38"/>
      <c r="C402" s="39"/>
      <c r="D402" s="39"/>
      <c r="E402" s="39"/>
      <c r="F402" s="39"/>
      <c r="G402" s="40"/>
      <c r="H402" s="39"/>
      <c r="I402" s="40" t="n">
        <f aca="false">IF(G402="",0,G402*S402)</f>
        <v>0</v>
      </c>
      <c r="J402" s="40"/>
      <c r="K402" s="40" t="n">
        <f aca="false">IF(G402="",0,G402-I402-IF(J402="",0,J402))</f>
        <v>0</v>
      </c>
      <c r="L402" s="40" t="n">
        <f aca="false">IF(O402="",0,IFERROR(INDEX(Purchases!I:I,MATCH(O402*1,Purchases!A:A,0)),0))</f>
        <v>0</v>
      </c>
      <c r="M402" s="40" t="n">
        <f aca="false">IF(G402="",0,K402-L402)</f>
        <v>0</v>
      </c>
      <c r="N402" s="48" t="str">
        <f aca="false">IFERROR(IF(G402="","",M402/G402),"")</f>
        <v/>
      </c>
      <c r="O402" s="39"/>
      <c r="P402" s="39"/>
      <c r="Q402" s="39"/>
      <c r="R402" s="39"/>
      <c r="S402" s="48" t="n">
        <f aca="false">IFERROR(VLOOKUP(H402,Settings!B14:C25,2,FALSE()),0)</f>
        <v>0</v>
      </c>
    </row>
    <row r="403" customFormat="false" ht="15" hidden="false" customHeight="false" outlineLevel="0" collapsed="false">
      <c r="A403" s="41" t="str">
        <f aca="false">IF(B403="","",ROW()-3)</f>
        <v/>
      </c>
      <c r="B403" s="42"/>
      <c r="G403" s="44"/>
      <c r="I403" s="44" t="n">
        <f aca="false">IF(G403="",0,G403*S403)</f>
        <v>0</v>
      </c>
      <c r="J403" s="44"/>
      <c r="K403" s="44" t="n">
        <f aca="false">IF(G403="",0,G403-I403-IF(J403="",0,J403))</f>
        <v>0</v>
      </c>
      <c r="L403" s="44" t="n">
        <f aca="false">IF(O403="",0,IFERROR(INDEX(Purchases!I:I,MATCH(O403*1,Purchases!A:A,0)),0))</f>
        <v>0</v>
      </c>
      <c r="M403" s="44" t="n">
        <f aca="false">IF(G403="",0,K403-L403)</f>
        <v>0</v>
      </c>
      <c r="N403" s="49" t="str">
        <f aca="false">IFERROR(IF(G403="","",M403/G403),"")</f>
        <v/>
      </c>
      <c r="S403" s="49" t="n">
        <f aca="false">IFERROR(VLOOKUP(H403,Settings!B14:C25,2,FALSE()),0)</f>
        <v>0</v>
      </c>
    </row>
    <row r="404" customFormat="false" ht="15" hidden="false" customHeight="false" outlineLevel="0" collapsed="false">
      <c r="A404" s="37" t="str">
        <f aca="false">IF(B404="","",ROW()-3)</f>
        <v/>
      </c>
      <c r="B404" s="38"/>
      <c r="C404" s="39"/>
      <c r="D404" s="39"/>
      <c r="E404" s="39"/>
      <c r="F404" s="39"/>
      <c r="G404" s="40"/>
      <c r="H404" s="39"/>
      <c r="I404" s="40" t="n">
        <f aca="false">IF(G404="",0,G404*S404)</f>
        <v>0</v>
      </c>
      <c r="J404" s="40"/>
      <c r="K404" s="40" t="n">
        <f aca="false">IF(G404="",0,G404-I404-IF(J404="",0,J404))</f>
        <v>0</v>
      </c>
      <c r="L404" s="40" t="n">
        <f aca="false">IF(O404="",0,IFERROR(INDEX(Purchases!I:I,MATCH(O404*1,Purchases!A:A,0)),0))</f>
        <v>0</v>
      </c>
      <c r="M404" s="40" t="n">
        <f aca="false">IF(G404="",0,K404-L404)</f>
        <v>0</v>
      </c>
      <c r="N404" s="48" t="str">
        <f aca="false">IFERROR(IF(G404="","",M404/G404),"")</f>
        <v/>
      </c>
      <c r="O404" s="39"/>
      <c r="P404" s="39"/>
      <c r="Q404" s="39"/>
      <c r="R404" s="39"/>
      <c r="S404" s="48" t="n">
        <f aca="false">IFERROR(VLOOKUP(H404,Settings!B14:C25,2,FALSE()),0)</f>
        <v>0</v>
      </c>
    </row>
    <row r="405" customFormat="false" ht="15" hidden="false" customHeight="false" outlineLevel="0" collapsed="false">
      <c r="A405" s="41" t="str">
        <f aca="false">IF(B405="","",ROW()-3)</f>
        <v/>
      </c>
      <c r="B405" s="42"/>
      <c r="G405" s="44"/>
      <c r="I405" s="44" t="n">
        <f aca="false">IF(G405="",0,G405*S405)</f>
        <v>0</v>
      </c>
      <c r="J405" s="44"/>
      <c r="K405" s="44" t="n">
        <f aca="false">IF(G405="",0,G405-I405-IF(J405="",0,J405))</f>
        <v>0</v>
      </c>
      <c r="L405" s="44" t="n">
        <f aca="false">IF(O405="",0,IFERROR(INDEX(Purchases!I:I,MATCH(O405*1,Purchases!A:A,0)),0))</f>
        <v>0</v>
      </c>
      <c r="M405" s="44" t="n">
        <f aca="false">IF(G405="",0,K405-L405)</f>
        <v>0</v>
      </c>
      <c r="N405" s="49" t="str">
        <f aca="false">IFERROR(IF(G405="","",M405/G405),"")</f>
        <v/>
      </c>
      <c r="S405" s="49" t="n">
        <f aca="false">IFERROR(VLOOKUP(H405,Settings!B14:C25,2,FALSE()),0)</f>
        <v>0</v>
      </c>
    </row>
    <row r="406" customFormat="false" ht="15" hidden="false" customHeight="false" outlineLevel="0" collapsed="false">
      <c r="A406" s="37" t="str">
        <f aca="false">IF(B406="","",ROW()-3)</f>
        <v/>
      </c>
      <c r="B406" s="38"/>
      <c r="C406" s="39"/>
      <c r="D406" s="39"/>
      <c r="E406" s="39"/>
      <c r="F406" s="39"/>
      <c r="G406" s="40"/>
      <c r="H406" s="39"/>
      <c r="I406" s="40" t="n">
        <f aca="false">IF(G406="",0,G406*S406)</f>
        <v>0</v>
      </c>
      <c r="J406" s="40"/>
      <c r="K406" s="40" t="n">
        <f aca="false">IF(G406="",0,G406-I406-IF(J406="",0,J406))</f>
        <v>0</v>
      </c>
      <c r="L406" s="40" t="n">
        <f aca="false">IF(O406="",0,IFERROR(INDEX(Purchases!I:I,MATCH(O406*1,Purchases!A:A,0)),0))</f>
        <v>0</v>
      </c>
      <c r="M406" s="40" t="n">
        <f aca="false">IF(G406="",0,K406-L406)</f>
        <v>0</v>
      </c>
      <c r="N406" s="48" t="str">
        <f aca="false">IFERROR(IF(G406="","",M406/G406),"")</f>
        <v/>
      </c>
      <c r="O406" s="39"/>
      <c r="P406" s="39"/>
      <c r="Q406" s="39"/>
      <c r="R406" s="39"/>
      <c r="S406" s="48" t="n">
        <f aca="false">IFERROR(VLOOKUP(H406,Settings!B14:C25,2,FALSE()),0)</f>
        <v>0</v>
      </c>
    </row>
    <row r="407" customFormat="false" ht="15" hidden="false" customHeight="false" outlineLevel="0" collapsed="false">
      <c r="A407" s="41" t="str">
        <f aca="false">IF(B407="","",ROW()-3)</f>
        <v/>
      </c>
      <c r="B407" s="42"/>
      <c r="G407" s="44"/>
      <c r="I407" s="44" t="n">
        <f aca="false">IF(G407="",0,G407*S407)</f>
        <v>0</v>
      </c>
      <c r="J407" s="44"/>
      <c r="K407" s="44" t="n">
        <f aca="false">IF(G407="",0,G407-I407-IF(J407="",0,J407))</f>
        <v>0</v>
      </c>
      <c r="L407" s="44" t="n">
        <f aca="false">IF(O407="",0,IFERROR(INDEX(Purchases!I:I,MATCH(O407*1,Purchases!A:A,0)),0))</f>
        <v>0</v>
      </c>
      <c r="M407" s="44" t="n">
        <f aca="false">IF(G407="",0,K407-L407)</f>
        <v>0</v>
      </c>
      <c r="N407" s="49" t="str">
        <f aca="false">IFERROR(IF(G407="","",M407/G407),"")</f>
        <v/>
      </c>
      <c r="S407" s="49" t="n">
        <f aca="false">IFERROR(VLOOKUP(H407,Settings!B14:C25,2,FALSE()),0)</f>
        <v>0</v>
      </c>
    </row>
    <row r="408" customFormat="false" ht="15" hidden="false" customHeight="false" outlineLevel="0" collapsed="false">
      <c r="A408" s="37" t="str">
        <f aca="false">IF(B408="","",ROW()-3)</f>
        <v/>
      </c>
      <c r="B408" s="38"/>
      <c r="C408" s="39"/>
      <c r="D408" s="39"/>
      <c r="E408" s="39"/>
      <c r="F408" s="39"/>
      <c r="G408" s="40"/>
      <c r="H408" s="39"/>
      <c r="I408" s="40" t="n">
        <f aca="false">IF(G408="",0,G408*S408)</f>
        <v>0</v>
      </c>
      <c r="J408" s="40"/>
      <c r="K408" s="40" t="n">
        <f aca="false">IF(G408="",0,G408-I408-IF(J408="",0,J408))</f>
        <v>0</v>
      </c>
      <c r="L408" s="40" t="n">
        <f aca="false">IF(O408="",0,IFERROR(INDEX(Purchases!I:I,MATCH(O408*1,Purchases!A:A,0)),0))</f>
        <v>0</v>
      </c>
      <c r="M408" s="40" t="n">
        <f aca="false">IF(G408="",0,K408-L408)</f>
        <v>0</v>
      </c>
      <c r="N408" s="48" t="str">
        <f aca="false">IFERROR(IF(G408="","",M408/G408),"")</f>
        <v/>
      </c>
      <c r="O408" s="39"/>
      <c r="P408" s="39"/>
      <c r="Q408" s="39"/>
      <c r="R408" s="39"/>
      <c r="S408" s="48" t="n">
        <f aca="false">IFERROR(VLOOKUP(H408,Settings!B14:C25,2,FALSE()),0)</f>
        <v>0</v>
      </c>
    </row>
    <row r="409" customFormat="false" ht="15" hidden="false" customHeight="false" outlineLevel="0" collapsed="false">
      <c r="A409" s="41" t="str">
        <f aca="false">IF(B409="","",ROW()-3)</f>
        <v/>
      </c>
      <c r="B409" s="42"/>
      <c r="G409" s="44"/>
      <c r="I409" s="44" t="n">
        <f aca="false">IF(G409="",0,G409*S409)</f>
        <v>0</v>
      </c>
      <c r="J409" s="44"/>
      <c r="K409" s="44" t="n">
        <f aca="false">IF(G409="",0,G409-I409-IF(J409="",0,J409))</f>
        <v>0</v>
      </c>
      <c r="L409" s="44" t="n">
        <f aca="false">IF(O409="",0,IFERROR(INDEX(Purchases!I:I,MATCH(O409*1,Purchases!A:A,0)),0))</f>
        <v>0</v>
      </c>
      <c r="M409" s="44" t="n">
        <f aca="false">IF(G409="",0,K409-L409)</f>
        <v>0</v>
      </c>
      <c r="N409" s="49" t="str">
        <f aca="false">IFERROR(IF(G409="","",M409/G409),"")</f>
        <v/>
      </c>
      <c r="S409" s="49" t="n">
        <f aca="false">IFERROR(VLOOKUP(H409,Settings!B14:C25,2,FALSE()),0)</f>
        <v>0</v>
      </c>
    </row>
    <row r="410" customFormat="false" ht="15" hidden="false" customHeight="false" outlineLevel="0" collapsed="false">
      <c r="A410" s="37" t="str">
        <f aca="false">IF(B410="","",ROW()-3)</f>
        <v/>
      </c>
      <c r="B410" s="38"/>
      <c r="C410" s="39"/>
      <c r="D410" s="39"/>
      <c r="E410" s="39"/>
      <c r="F410" s="39"/>
      <c r="G410" s="40"/>
      <c r="H410" s="39"/>
      <c r="I410" s="40" t="n">
        <f aca="false">IF(G410="",0,G410*S410)</f>
        <v>0</v>
      </c>
      <c r="J410" s="40"/>
      <c r="K410" s="40" t="n">
        <f aca="false">IF(G410="",0,G410-I410-IF(J410="",0,J410))</f>
        <v>0</v>
      </c>
      <c r="L410" s="40" t="n">
        <f aca="false">IF(O410="",0,IFERROR(INDEX(Purchases!I:I,MATCH(O410*1,Purchases!A:A,0)),0))</f>
        <v>0</v>
      </c>
      <c r="M410" s="40" t="n">
        <f aca="false">IF(G410="",0,K410-L410)</f>
        <v>0</v>
      </c>
      <c r="N410" s="48" t="str">
        <f aca="false">IFERROR(IF(G410="","",M410/G410),"")</f>
        <v/>
      </c>
      <c r="O410" s="39"/>
      <c r="P410" s="39"/>
      <c r="Q410" s="39"/>
      <c r="R410" s="39"/>
      <c r="S410" s="48" t="n">
        <f aca="false">IFERROR(VLOOKUP(H410,Settings!B14:C25,2,FALSE()),0)</f>
        <v>0</v>
      </c>
    </row>
    <row r="411" customFormat="false" ht="15" hidden="false" customHeight="false" outlineLevel="0" collapsed="false">
      <c r="A411" s="41" t="str">
        <f aca="false">IF(B411="","",ROW()-3)</f>
        <v/>
      </c>
      <c r="B411" s="42"/>
      <c r="G411" s="44"/>
      <c r="I411" s="44" t="n">
        <f aca="false">IF(G411="",0,G411*S411)</f>
        <v>0</v>
      </c>
      <c r="J411" s="44"/>
      <c r="K411" s="44" t="n">
        <f aca="false">IF(G411="",0,G411-I411-IF(J411="",0,J411))</f>
        <v>0</v>
      </c>
      <c r="L411" s="44" t="n">
        <f aca="false">IF(O411="",0,IFERROR(INDEX(Purchases!I:I,MATCH(O411*1,Purchases!A:A,0)),0))</f>
        <v>0</v>
      </c>
      <c r="M411" s="44" t="n">
        <f aca="false">IF(G411="",0,K411-L411)</f>
        <v>0</v>
      </c>
      <c r="N411" s="49" t="str">
        <f aca="false">IFERROR(IF(G411="","",M411/G411),"")</f>
        <v/>
      </c>
      <c r="S411" s="49" t="n">
        <f aca="false">IFERROR(VLOOKUP(H411,Settings!B14:C25,2,FALSE()),0)</f>
        <v>0</v>
      </c>
    </row>
    <row r="412" customFormat="false" ht="15" hidden="false" customHeight="false" outlineLevel="0" collapsed="false">
      <c r="A412" s="37" t="str">
        <f aca="false">IF(B412="","",ROW()-3)</f>
        <v/>
      </c>
      <c r="B412" s="38"/>
      <c r="C412" s="39"/>
      <c r="D412" s="39"/>
      <c r="E412" s="39"/>
      <c r="F412" s="39"/>
      <c r="G412" s="40"/>
      <c r="H412" s="39"/>
      <c r="I412" s="40" t="n">
        <f aca="false">IF(G412="",0,G412*S412)</f>
        <v>0</v>
      </c>
      <c r="J412" s="40"/>
      <c r="K412" s="40" t="n">
        <f aca="false">IF(G412="",0,G412-I412-IF(J412="",0,J412))</f>
        <v>0</v>
      </c>
      <c r="L412" s="40" t="n">
        <f aca="false">IF(O412="",0,IFERROR(INDEX(Purchases!I:I,MATCH(O412*1,Purchases!A:A,0)),0))</f>
        <v>0</v>
      </c>
      <c r="M412" s="40" t="n">
        <f aca="false">IF(G412="",0,K412-L412)</f>
        <v>0</v>
      </c>
      <c r="N412" s="48" t="str">
        <f aca="false">IFERROR(IF(G412="","",M412/G412),"")</f>
        <v/>
      </c>
      <c r="O412" s="39"/>
      <c r="P412" s="39"/>
      <c r="Q412" s="39"/>
      <c r="R412" s="39"/>
      <c r="S412" s="48" t="n">
        <f aca="false">IFERROR(VLOOKUP(H412,Settings!B14:C25,2,FALSE()),0)</f>
        <v>0</v>
      </c>
    </row>
    <row r="413" customFormat="false" ht="15" hidden="false" customHeight="false" outlineLevel="0" collapsed="false">
      <c r="A413" s="41" t="str">
        <f aca="false">IF(B413="","",ROW()-3)</f>
        <v/>
      </c>
      <c r="B413" s="42"/>
      <c r="G413" s="44"/>
      <c r="I413" s="44" t="n">
        <f aca="false">IF(G413="",0,G413*S413)</f>
        <v>0</v>
      </c>
      <c r="J413" s="44"/>
      <c r="K413" s="44" t="n">
        <f aca="false">IF(G413="",0,G413-I413-IF(J413="",0,J413))</f>
        <v>0</v>
      </c>
      <c r="L413" s="44" t="n">
        <f aca="false">IF(O413="",0,IFERROR(INDEX(Purchases!I:I,MATCH(O413*1,Purchases!A:A,0)),0))</f>
        <v>0</v>
      </c>
      <c r="M413" s="44" t="n">
        <f aca="false">IF(G413="",0,K413-L413)</f>
        <v>0</v>
      </c>
      <c r="N413" s="49" t="str">
        <f aca="false">IFERROR(IF(G413="","",M413/G413),"")</f>
        <v/>
      </c>
      <c r="S413" s="49" t="n">
        <f aca="false">IFERROR(VLOOKUP(H413,Settings!B14:C25,2,FALSE()),0)</f>
        <v>0</v>
      </c>
    </row>
    <row r="414" customFormat="false" ht="15" hidden="false" customHeight="false" outlineLevel="0" collapsed="false">
      <c r="A414" s="37" t="str">
        <f aca="false">IF(B414="","",ROW()-3)</f>
        <v/>
      </c>
      <c r="B414" s="38"/>
      <c r="C414" s="39"/>
      <c r="D414" s="39"/>
      <c r="E414" s="39"/>
      <c r="F414" s="39"/>
      <c r="G414" s="40"/>
      <c r="H414" s="39"/>
      <c r="I414" s="40" t="n">
        <f aca="false">IF(G414="",0,G414*S414)</f>
        <v>0</v>
      </c>
      <c r="J414" s="40"/>
      <c r="K414" s="40" t="n">
        <f aca="false">IF(G414="",0,G414-I414-IF(J414="",0,J414))</f>
        <v>0</v>
      </c>
      <c r="L414" s="40" t="n">
        <f aca="false">IF(O414="",0,IFERROR(INDEX(Purchases!I:I,MATCH(O414*1,Purchases!A:A,0)),0))</f>
        <v>0</v>
      </c>
      <c r="M414" s="40" t="n">
        <f aca="false">IF(G414="",0,K414-L414)</f>
        <v>0</v>
      </c>
      <c r="N414" s="48" t="str">
        <f aca="false">IFERROR(IF(G414="","",M414/G414),"")</f>
        <v/>
      </c>
      <c r="O414" s="39"/>
      <c r="P414" s="39"/>
      <c r="Q414" s="39"/>
      <c r="R414" s="39"/>
      <c r="S414" s="48" t="n">
        <f aca="false">IFERROR(VLOOKUP(H414,Settings!B14:C25,2,FALSE()),0)</f>
        <v>0</v>
      </c>
    </row>
    <row r="415" customFormat="false" ht="15" hidden="false" customHeight="false" outlineLevel="0" collapsed="false">
      <c r="A415" s="41" t="str">
        <f aca="false">IF(B415="","",ROW()-3)</f>
        <v/>
      </c>
      <c r="B415" s="42"/>
      <c r="G415" s="44"/>
      <c r="I415" s="44" t="n">
        <f aca="false">IF(G415="",0,G415*S415)</f>
        <v>0</v>
      </c>
      <c r="J415" s="44"/>
      <c r="K415" s="44" t="n">
        <f aca="false">IF(G415="",0,G415-I415-IF(J415="",0,J415))</f>
        <v>0</v>
      </c>
      <c r="L415" s="44" t="n">
        <f aca="false">IF(O415="",0,IFERROR(INDEX(Purchases!I:I,MATCH(O415*1,Purchases!A:A,0)),0))</f>
        <v>0</v>
      </c>
      <c r="M415" s="44" t="n">
        <f aca="false">IF(G415="",0,K415-L415)</f>
        <v>0</v>
      </c>
      <c r="N415" s="49" t="str">
        <f aca="false">IFERROR(IF(G415="","",M415/G415),"")</f>
        <v/>
      </c>
      <c r="S415" s="49" t="n">
        <f aca="false">IFERROR(VLOOKUP(H415,Settings!B14:C25,2,FALSE()),0)</f>
        <v>0</v>
      </c>
    </row>
    <row r="416" customFormat="false" ht="15" hidden="false" customHeight="false" outlineLevel="0" collapsed="false">
      <c r="A416" s="37" t="str">
        <f aca="false">IF(B416="","",ROW()-3)</f>
        <v/>
      </c>
      <c r="B416" s="38"/>
      <c r="C416" s="39"/>
      <c r="D416" s="39"/>
      <c r="E416" s="39"/>
      <c r="F416" s="39"/>
      <c r="G416" s="40"/>
      <c r="H416" s="39"/>
      <c r="I416" s="40" t="n">
        <f aca="false">IF(G416="",0,G416*S416)</f>
        <v>0</v>
      </c>
      <c r="J416" s="40"/>
      <c r="K416" s="40" t="n">
        <f aca="false">IF(G416="",0,G416-I416-IF(J416="",0,J416))</f>
        <v>0</v>
      </c>
      <c r="L416" s="40" t="n">
        <f aca="false">IF(O416="",0,IFERROR(INDEX(Purchases!I:I,MATCH(O416*1,Purchases!A:A,0)),0))</f>
        <v>0</v>
      </c>
      <c r="M416" s="40" t="n">
        <f aca="false">IF(G416="",0,K416-L416)</f>
        <v>0</v>
      </c>
      <c r="N416" s="48" t="str">
        <f aca="false">IFERROR(IF(G416="","",M416/G416),"")</f>
        <v/>
      </c>
      <c r="O416" s="39"/>
      <c r="P416" s="39"/>
      <c r="Q416" s="39"/>
      <c r="R416" s="39"/>
      <c r="S416" s="48" t="n">
        <f aca="false">IFERROR(VLOOKUP(H416,Settings!B14:C25,2,FALSE()),0)</f>
        <v>0</v>
      </c>
    </row>
    <row r="417" customFormat="false" ht="15" hidden="false" customHeight="false" outlineLevel="0" collapsed="false">
      <c r="A417" s="41" t="str">
        <f aca="false">IF(B417="","",ROW()-3)</f>
        <v/>
      </c>
      <c r="B417" s="42"/>
      <c r="G417" s="44"/>
      <c r="I417" s="44" t="n">
        <f aca="false">IF(G417="",0,G417*S417)</f>
        <v>0</v>
      </c>
      <c r="J417" s="44"/>
      <c r="K417" s="44" t="n">
        <f aca="false">IF(G417="",0,G417-I417-IF(J417="",0,J417))</f>
        <v>0</v>
      </c>
      <c r="L417" s="44" t="n">
        <f aca="false">IF(O417="",0,IFERROR(INDEX(Purchases!I:I,MATCH(O417*1,Purchases!A:A,0)),0))</f>
        <v>0</v>
      </c>
      <c r="M417" s="44" t="n">
        <f aca="false">IF(G417="",0,K417-L417)</f>
        <v>0</v>
      </c>
      <c r="N417" s="49" t="str">
        <f aca="false">IFERROR(IF(G417="","",M417/G417),"")</f>
        <v/>
      </c>
      <c r="S417" s="49" t="n">
        <f aca="false">IFERROR(VLOOKUP(H417,Settings!B14:C25,2,FALSE()),0)</f>
        <v>0</v>
      </c>
    </row>
    <row r="418" customFormat="false" ht="15" hidden="false" customHeight="false" outlineLevel="0" collapsed="false">
      <c r="A418" s="37" t="str">
        <f aca="false">IF(B418="","",ROW()-3)</f>
        <v/>
      </c>
      <c r="B418" s="38"/>
      <c r="C418" s="39"/>
      <c r="D418" s="39"/>
      <c r="E418" s="39"/>
      <c r="F418" s="39"/>
      <c r="G418" s="40"/>
      <c r="H418" s="39"/>
      <c r="I418" s="40" t="n">
        <f aca="false">IF(G418="",0,G418*S418)</f>
        <v>0</v>
      </c>
      <c r="J418" s="40"/>
      <c r="K418" s="40" t="n">
        <f aca="false">IF(G418="",0,G418-I418-IF(J418="",0,J418))</f>
        <v>0</v>
      </c>
      <c r="L418" s="40" t="n">
        <f aca="false">IF(O418="",0,IFERROR(INDEX(Purchases!I:I,MATCH(O418*1,Purchases!A:A,0)),0))</f>
        <v>0</v>
      </c>
      <c r="M418" s="40" t="n">
        <f aca="false">IF(G418="",0,K418-L418)</f>
        <v>0</v>
      </c>
      <c r="N418" s="48" t="str">
        <f aca="false">IFERROR(IF(G418="","",M418/G418),"")</f>
        <v/>
      </c>
      <c r="O418" s="39"/>
      <c r="P418" s="39"/>
      <c r="Q418" s="39"/>
      <c r="R418" s="39"/>
      <c r="S418" s="48" t="n">
        <f aca="false">IFERROR(VLOOKUP(H418,Settings!B14:C25,2,FALSE()),0)</f>
        <v>0</v>
      </c>
    </row>
    <row r="419" customFormat="false" ht="15" hidden="false" customHeight="false" outlineLevel="0" collapsed="false">
      <c r="A419" s="41" t="str">
        <f aca="false">IF(B419="","",ROW()-3)</f>
        <v/>
      </c>
      <c r="B419" s="42"/>
      <c r="G419" s="44"/>
      <c r="I419" s="44" t="n">
        <f aca="false">IF(G419="",0,G419*S419)</f>
        <v>0</v>
      </c>
      <c r="J419" s="44"/>
      <c r="K419" s="44" t="n">
        <f aca="false">IF(G419="",0,G419-I419-IF(J419="",0,J419))</f>
        <v>0</v>
      </c>
      <c r="L419" s="44" t="n">
        <f aca="false">IF(O419="",0,IFERROR(INDEX(Purchases!I:I,MATCH(O419*1,Purchases!A:A,0)),0))</f>
        <v>0</v>
      </c>
      <c r="M419" s="44" t="n">
        <f aca="false">IF(G419="",0,K419-L419)</f>
        <v>0</v>
      </c>
      <c r="N419" s="49" t="str">
        <f aca="false">IFERROR(IF(G419="","",M419/G419),"")</f>
        <v/>
      </c>
      <c r="S419" s="49" t="n">
        <f aca="false">IFERROR(VLOOKUP(H419,Settings!B14:C25,2,FALSE()),0)</f>
        <v>0</v>
      </c>
    </row>
    <row r="420" customFormat="false" ht="15" hidden="false" customHeight="false" outlineLevel="0" collapsed="false">
      <c r="A420" s="37" t="str">
        <f aca="false">IF(B420="","",ROW()-3)</f>
        <v/>
      </c>
      <c r="B420" s="38"/>
      <c r="C420" s="39"/>
      <c r="D420" s="39"/>
      <c r="E420" s="39"/>
      <c r="F420" s="39"/>
      <c r="G420" s="40"/>
      <c r="H420" s="39"/>
      <c r="I420" s="40" t="n">
        <f aca="false">IF(G420="",0,G420*S420)</f>
        <v>0</v>
      </c>
      <c r="J420" s="40"/>
      <c r="K420" s="40" t="n">
        <f aca="false">IF(G420="",0,G420-I420-IF(J420="",0,J420))</f>
        <v>0</v>
      </c>
      <c r="L420" s="40" t="n">
        <f aca="false">IF(O420="",0,IFERROR(INDEX(Purchases!I:I,MATCH(O420*1,Purchases!A:A,0)),0))</f>
        <v>0</v>
      </c>
      <c r="M420" s="40" t="n">
        <f aca="false">IF(G420="",0,K420-L420)</f>
        <v>0</v>
      </c>
      <c r="N420" s="48" t="str">
        <f aca="false">IFERROR(IF(G420="","",M420/G420),"")</f>
        <v/>
      </c>
      <c r="O420" s="39"/>
      <c r="P420" s="39"/>
      <c r="Q420" s="39"/>
      <c r="R420" s="39"/>
      <c r="S420" s="48" t="n">
        <f aca="false">IFERROR(VLOOKUP(H420,Settings!B14:C25,2,FALSE()),0)</f>
        <v>0</v>
      </c>
    </row>
    <row r="421" customFormat="false" ht="15" hidden="false" customHeight="false" outlineLevel="0" collapsed="false">
      <c r="A421" s="41" t="str">
        <f aca="false">IF(B421="","",ROW()-3)</f>
        <v/>
      </c>
      <c r="B421" s="42"/>
      <c r="G421" s="44"/>
      <c r="I421" s="44" t="n">
        <f aca="false">IF(G421="",0,G421*S421)</f>
        <v>0</v>
      </c>
      <c r="J421" s="44"/>
      <c r="K421" s="44" t="n">
        <f aca="false">IF(G421="",0,G421-I421-IF(J421="",0,J421))</f>
        <v>0</v>
      </c>
      <c r="L421" s="44" t="n">
        <f aca="false">IF(O421="",0,IFERROR(INDEX(Purchases!I:I,MATCH(O421*1,Purchases!A:A,0)),0))</f>
        <v>0</v>
      </c>
      <c r="M421" s="44" t="n">
        <f aca="false">IF(G421="",0,K421-L421)</f>
        <v>0</v>
      </c>
      <c r="N421" s="49" t="str">
        <f aca="false">IFERROR(IF(G421="","",M421/G421),"")</f>
        <v/>
      </c>
      <c r="S421" s="49" t="n">
        <f aca="false">IFERROR(VLOOKUP(H421,Settings!B14:C25,2,FALSE()),0)</f>
        <v>0</v>
      </c>
    </row>
    <row r="422" customFormat="false" ht="15" hidden="false" customHeight="false" outlineLevel="0" collapsed="false">
      <c r="A422" s="37" t="str">
        <f aca="false">IF(B422="","",ROW()-3)</f>
        <v/>
      </c>
      <c r="B422" s="38"/>
      <c r="C422" s="39"/>
      <c r="D422" s="39"/>
      <c r="E422" s="39"/>
      <c r="F422" s="39"/>
      <c r="G422" s="40"/>
      <c r="H422" s="39"/>
      <c r="I422" s="40" t="n">
        <f aca="false">IF(G422="",0,G422*S422)</f>
        <v>0</v>
      </c>
      <c r="J422" s="40"/>
      <c r="K422" s="40" t="n">
        <f aca="false">IF(G422="",0,G422-I422-IF(J422="",0,J422))</f>
        <v>0</v>
      </c>
      <c r="L422" s="40" t="n">
        <f aca="false">IF(O422="",0,IFERROR(INDEX(Purchases!I:I,MATCH(O422*1,Purchases!A:A,0)),0))</f>
        <v>0</v>
      </c>
      <c r="M422" s="40" t="n">
        <f aca="false">IF(G422="",0,K422-L422)</f>
        <v>0</v>
      </c>
      <c r="N422" s="48" t="str">
        <f aca="false">IFERROR(IF(G422="","",M422/G422),"")</f>
        <v/>
      </c>
      <c r="O422" s="39"/>
      <c r="P422" s="39"/>
      <c r="Q422" s="39"/>
      <c r="R422" s="39"/>
      <c r="S422" s="48" t="n">
        <f aca="false">IFERROR(VLOOKUP(H422,Settings!B14:C25,2,FALSE()),0)</f>
        <v>0</v>
      </c>
    </row>
    <row r="423" customFormat="false" ht="15" hidden="false" customHeight="false" outlineLevel="0" collapsed="false">
      <c r="A423" s="41" t="str">
        <f aca="false">IF(B423="","",ROW()-3)</f>
        <v/>
      </c>
      <c r="B423" s="42"/>
      <c r="G423" s="44"/>
      <c r="I423" s="44" t="n">
        <f aca="false">IF(G423="",0,G423*S423)</f>
        <v>0</v>
      </c>
      <c r="J423" s="44"/>
      <c r="K423" s="44" t="n">
        <f aca="false">IF(G423="",0,G423-I423-IF(J423="",0,J423))</f>
        <v>0</v>
      </c>
      <c r="L423" s="44" t="n">
        <f aca="false">IF(O423="",0,IFERROR(INDEX(Purchases!I:I,MATCH(O423*1,Purchases!A:A,0)),0))</f>
        <v>0</v>
      </c>
      <c r="M423" s="44" t="n">
        <f aca="false">IF(G423="",0,K423-L423)</f>
        <v>0</v>
      </c>
      <c r="N423" s="49" t="str">
        <f aca="false">IFERROR(IF(G423="","",M423/G423),"")</f>
        <v/>
      </c>
      <c r="S423" s="49" t="n">
        <f aca="false">IFERROR(VLOOKUP(H423,Settings!B14:C25,2,FALSE()),0)</f>
        <v>0</v>
      </c>
    </row>
    <row r="424" customFormat="false" ht="15" hidden="false" customHeight="false" outlineLevel="0" collapsed="false">
      <c r="A424" s="37" t="str">
        <f aca="false">IF(B424="","",ROW()-3)</f>
        <v/>
      </c>
      <c r="B424" s="38"/>
      <c r="C424" s="39"/>
      <c r="D424" s="39"/>
      <c r="E424" s="39"/>
      <c r="F424" s="39"/>
      <c r="G424" s="40"/>
      <c r="H424" s="39"/>
      <c r="I424" s="40" t="n">
        <f aca="false">IF(G424="",0,G424*S424)</f>
        <v>0</v>
      </c>
      <c r="J424" s="40"/>
      <c r="K424" s="40" t="n">
        <f aca="false">IF(G424="",0,G424-I424-IF(J424="",0,J424))</f>
        <v>0</v>
      </c>
      <c r="L424" s="40" t="n">
        <f aca="false">IF(O424="",0,IFERROR(INDEX(Purchases!I:I,MATCH(O424*1,Purchases!A:A,0)),0))</f>
        <v>0</v>
      </c>
      <c r="M424" s="40" t="n">
        <f aca="false">IF(G424="",0,K424-L424)</f>
        <v>0</v>
      </c>
      <c r="N424" s="48" t="str">
        <f aca="false">IFERROR(IF(G424="","",M424/G424),"")</f>
        <v/>
      </c>
      <c r="O424" s="39"/>
      <c r="P424" s="39"/>
      <c r="Q424" s="39"/>
      <c r="R424" s="39"/>
      <c r="S424" s="48" t="n">
        <f aca="false">IFERROR(VLOOKUP(H424,Settings!B14:C25,2,FALSE()),0)</f>
        <v>0</v>
      </c>
    </row>
    <row r="425" customFormat="false" ht="15" hidden="false" customHeight="false" outlineLevel="0" collapsed="false">
      <c r="A425" s="41" t="str">
        <f aca="false">IF(B425="","",ROW()-3)</f>
        <v/>
      </c>
      <c r="B425" s="42"/>
      <c r="G425" s="44"/>
      <c r="I425" s="44" t="n">
        <f aca="false">IF(G425="",0,G425*S425)</f>
        <v>0</v>
      </c>
      <c r="J425" s="44"/>
      <c r="K425" s="44" t="n">
        <f aca="false">IF(G425="",0,G425-I425-IF(J425="",0,J425))</f>
        <v>0</v>
      </c>
      <c r="L425" s="44" t="n">
        <f aca="false">IF(O425="",0,IFERROR(INDEX(Purchases!I:I,MATCH(O425*1,Purchases!A:A,0)),0))</f>
        <v>0</v>
      </c>
      <c r="M425" s="44" t="n">
        <f aca="false">IF(G425="",0,K425-L425)</f>
        <v>0</v>
      </c>
      <c r="N425" s="49" t="str">
        <f aca="false">IFERROR(IF(G425="","",M425/G425),"")</f>
        <v/>
      </c>
      <c r="S425" s="49" t="n">
        <f aca="false">IFERROR(VLOOKUP(H425,Settings!B14:C25,2,FALSE()),0)</f>
        <v>0</v>
      </c>
    </row>
    <row r="426" customFormat="false" ht="15" hidden="false" customHeight="false" outlineLevel="0" collapsed="false">
      <c r="A426" s="37" t="str">
        <f aca="false">IF(B426="","",ROW()-3)</f>
        <v/>
      </c>
      <c r="B426" s="38"/>
      <c r="C426" s="39"/>
      <c r="D426" s="39"/>
      <c r="E426" s="39"/>
      <c r="F426" s="39"/>
      <c r="G426" s="40"/>
      <c r="H426" s="39"/>
      <c r="I426" s="40" t="n">
        <f aca="false">IF(G426="",0,G426*S426)</f>
        <v>0</v>
      </c>
      <c r="J426" s="40"/>
      <c r="K426" s="40" t="n">
        <f aca="false">IF(G426="",0,G426-I426-IF(J426="",0,J426))</f>
        <v>0</v>
      </c>
      <c r="L426" s="40" t="n">
        <f aca="false">IF(O426="",0,IFERROR(INDEX(Purchases!I:I,MATCH(O426*1,Purchases!A:A,0)),0))</f>
        <v>0</v>
      </c>
      <c r="M426" s="40" t="n">
        <f aca="false">IF(G426="",0,K426-L426)</f>
        <v>0</v>
      </c>
      <c r="N426" s="48" t="str">
        <f aca="false">IFERROR(IF(G426="","",M426/G426),"")</f>
        <v/>
      </c>
      <c r="O426" s="39"/>
      <c r="P426" s="39"/>
      <c r="Q426" s="39"/>
      <c r="R426" s="39"/>
      <c r="S426" s="48" t="n">
        <f aca="false">IFERROR(VLOOKUP(H426,Settings!B14:C25,2,FALSE()),0)</f>
        <v>0</v>
      </c>
    </row>
    <row r="427" customFormat="false" ht="15" hidden="false" customHeight="false" outlineLevel="0" collapsed="false">
      <c r="A427" s="41" t="str">
        <f aca="false">IF(B427="","",ROW()-3)</f>
        <v/>
      </c>
      <c r="B427" s="42"/>
      <c r="G427" s="44"/>
      <c r="I427" s="44" t="n">
        <f aca="false">IF(G427="",0,G427*S427)</f>
        <v>0</v>
      </c>
      <c r="J427" s="44"/>
      <c r="K427" s="44" t="n">
        <f aca="false">IF(G427="",0,G427-I427-IF(J427="",0,J427))</f>
        <v>0</v>
      </c>
      <c r="L427" s="44" t="n">
        <f aca="false">IF(O427="",0,IFERROR(INDEX(Purchases!I:I,MATCH(O427*1,Purchases!A:A,0)),0))</f>
        <v>0</v>
      </c>
      <c r="M427" s="44" t="n">
        <f aca="false">IF(G427="",0,K427-L427)</f>
        <v>0</v>
      </c>
      <c r="N427" s="49" t="str">
        <f aca="false">IFERROR(IF(G427="","",M427/G427),"")</f>
        <v/>
      </c>
      <c r="S427" s="49" t="n">
        <f aca="false">IFERROR(VLOOKUP(H427,Settings!B14:C25,2,FALSE()),0)</f>
        <v>0</v>
      </c>
    </row>
    <row r="428" customFormat="false" ht="15" hidden="false" customHeight="false" outlineLevel="0" collapsed="false">
      <c r="A428" s="37" t="str">
        <f aca="false">IF(B428="","",ROW()-3)</f>
        <v/>
      </c>
      <c r="B428" s="38"/>
      <c r="C428" s="39"/>
      <c r="D428" s="39"/>
      <c r="E428" s="39"/>
      <c r="F428" s="39"/>
      <c r="G428" s="40"/>
      <c r="H428" s="39"/>
      <c r="I428" s="40" t="n">
        <f aca="false">IF(G428="",0,G428*S428)</f>
        <v>0</v>
      </c>
      <c r="J428" s="40"/>
      <c r="K428" s="40" t="n">
        <f aca="false">IF(G428="",0,G428-I428-IF(J428="",0,J428))</f>
        <v>0</v>
      </c>
      <c r="L428" s="40" t="n">
        <f aca="false">IF(O428="",0,IFERROR(INDEX(Purchases!I:I,MATCH(O428*1,Purchases!A:A,0)),0))</f>
        <v>0</v>
      </c>
      <c r="M428" s="40" t="n">
        <f aca="false">IF(G428="",0,K428-L428)</f>
        <v>0</v>
      </c>
      <c r="N428" s="48" t="str">
        <f aca="false">IFERROR(IF(G428="","",M428/G428),"")</f>
        <v/>
      </c>
      <c r="O428" s="39"/>
      <c r="P428" s="39"/>
      <c r="Q428" s="39"/>
      <c r="R428" s="39"/>
      <c r="S428" s="48" t="n">
        <f aca="false">IFERROR(VLOOKUP(H428,Settings!B14:C25,2,FALSE()),0)</f>
        <v>0</v>
      </c>
    </row>
    <row r="429" customFormat="false" ht="15" hidden="false" customHeight="false" outlineLevel="0" collapsed="false">
      <c r="A429" s="41" t="str">
        <f aca="false">IF(B429="","",ROW()-3)</f>
        <v/>
      </c>
      <c r="B429" s="42"/>
      <c r="G429" s="44"/>
      <c r="I429" s="44" t="n">
        <f aca="false">IF(G429="",0,G429*S429)</f>
        <v>0</v>
      </c>
      <c r="J429" s="44"/>
      <c r="K429" s="44" t="n">
        <f aca="false">IF(G429="",0,G429-I429-IF(J429="",0,J429))</f>
        <v>0</v>
      </c>
      <c r="L429" s="44" t="n">
        <f aca="false">IF(O429="",0,IFERROR(INDEX(Purchases!I:I,MATCH(O429*1,Purchases!A:A,0)),0))</f>
        <v>0</v>
      </c>
      <c r="M429" s="44" t="n">
        <f aca="false">IF(G429="",0,K429-L429)</f>
        <v>0</v>
      </c>
      <c r="N429" s="49" t="str">
        <f aca="false">IFERROR(IF(G429="","",M429/G429),"")</f>
        <v/>
      </c>
      <c r="S429" s="49" t="n">
        <f aca="false">IFERROR(VLOOKUP(H429,Settings!B14:C25,2,FALSE()),0)</f>
        <v>0</v>
      </c>
    </row>
    <row r="430" customFormat="false" ht="15" hidden="false" customHeight="false" outlineLevel="0" collapsed="false">
      <c r="A430" s="37" t="str">
        <f aca="false">IF(B430="","",ROW()-3)</f>
        <v/>
      </c>
      <c r="B430" s="38"/>
      <c r="C430" s="39"/>
      <c r="D430" s="39"/>
      <c r="E430" s="39"/>
      <c r="F430" s="39"/>
      <c r="G430" s="40"/>
      <c r="H430" s="39"/>
      <c r="I430" s="40" t="n">
        <f aca="false">IF(G430="",0,G430*S430)</f>
        <v>0</v>
      </c>
      <c r="J430" s="40"/>
      <c r="K430" s="40" t="n">
        <f aca="false">IF(G430="",0,G430-I430-IF(J430="",0,J430))</f>
        <v>0</v>
      </c>
      <c r="L430" s="40" t="n">
        <f aca="false">IF(O430="",0,IFERROR(INDEX(Purchases!I:I,MATCH(O430*1,Purchases!A:A,0)),0))</f>
        <v>0</v>
      </c>
      <c r="M430" s="40" t="n">
        <f aca="false">IF(G430="",0,K430-L430)</f>
        <v>0</v>
      </c>
      <c r="N430" s="48" t="str">
        <f aca="false">IFERROR(IF(G430="","",M430/G430),"")</f>
        <v/>
      </c>
      <c r="O430" s="39"/>
      <c r="P430" s="39"/>
      <c r="Q430" s="39"/>
      <c r="R430" s="39"/>
      <c r="S430" s="48" t="n">
        <f aca="false">IFERROR(VLOOKUP(H430,Settings!B14:C25,2,FALSE()),0)</f>
        <v>0</v>
      </c>
    </row>
    <row r="431" customFormat="false" ht="15" hidden="false" customHeight="false" outlineLevel="0" collapsed="false">
      <c r="A431" s="41" t="str">
        <f aca="false">IF(B431="","",ROW()-3)</f>
        <v/>
      </c>
      <c r="B431" s="42"/>
      <c r="G431" s="44"/>
      <c r="I431" s="44" t="n">
        <f aca="false">IF(G431="",0,G431*S431)</f>
        <v>0</v>
      </c>
      <c r="J431" s="44"/>
      <c r="K431" s="44" t="n">
        <f aca="false">IF(G431="",0,G431-I431-IF(J431="",0,J431))</f>
        <v>0</v>
      </c>
      <c r="L431" s="44" t="n">
        <f aca="false">IF(O431="",0,IFERROR(INDEX(Purchases!I:I,MATCH(O431*1,Purchases!A:A,0)),0))</f>
        <v>0</v>
      </c>
      <c r="M431" s="44" t="n">
        <f aca="false">IF(G431="",0,K431-L431)</f>
        <v>0</v>
      </c>
      <c r="N431" s="49" t="str">
        <f aca="false">IFERROR(IF(G431="","",M431/G431),"")</f>
        <v/>
      </c>
      <c r="S431" s="49" t="n">
        <f aca="false">IFERROR(VLOOKUP(H431,Settings!B14:C25,2,FALSE()),0)</f>
        <v>0</v>
      </c>
    </row>
    <row r="432" customFormat="false" ht="15" hidden="false" customHeight="false" outlineLevel="0" collapsed="false">
      <c r="A432" s="37" t="str">
        <f aca="false">IF(B432="","",ROW()-3)</f>
        <v/>
      </c>
      <c r="B432" s="38"/>
      <c r="C432" s="39"/>
      <c r="D432" s="39"/>
      <c r="E432" s="39"/>
      <c r="F432" s="39"/>
      <c r="G432" s="40"/>
      <c r="H432" s="39"/>
      <c r="I432" s="40" t="n">
        <f aca="false">IF(G432="",0,G432*S432)</f>
        <v>0</v>
      </c>
      <c r="J432" s="40"/>
      <c r="K432" s="40" t="n">
        <f aca="false">IF(G432="",0,G432-I432-IF(J432="",0,J432))</f>
        <v>0</v>
      </c>
      <c r="L432" s="40" t="n">
        <f aca="false">IF(O432="",0,IFERROR(INDEX(Purchases!I:I,MATCH(O432*1,Purchases!A:A,0)),0))</f>
        <v>0</v>
      </c>
      <c r="M432" s="40" t="n">
        <f aca="false">IF(G432="",0,K432-L432)</f>
        <v>0</v>
      </c>
      <c r="N432" s="48" t="str">
        <f aca="false">IFERROR(IF(G432="","",M432/G432),"")</f>
        <v/>
      </c>
      <c r="O432" s="39"/>
      <c r="P432" s="39"/>
      <c r="Q432" s="39"/>
      <c r="R432" s="39"/>
      <c r="S432" s="48" t="n">
        <f aca="false">IFERROR(VLOOKUP(H432,Settings!B14:C25,2,FALSE()),0)</f>
        <v>0</v>
      </c>
    </row>
    <row r="433" customFormat="false" ht="15" hidden="false" customHeight="false" outlineLevel="0" collapsed="false">
      <c r="A433" s="41" t="str">
        <f aca="false">IF(B433="","",ROW()-3)</f>
        <v/>
      </c>
      <c r="B433" s="42"/>
      <c r="G433" s="44"/>
      <c r="I433" s="44" t="n">
        <f aca="false">IF(G433="",0,G433*S433)</f>
        <v>0</v>
      </c>
      <c r="J433" s="44"/>
      <c r="K433" s="44" t="n">
        <f aca="false">IF(G433="",0,G433-I433-IF(J433="",0,J433))</f>
        <v>0</v>
      </c>
      <c r="L433" s="44" t="n">
        <f aca="false">IF(O433="",0,IFERROR(INDEX(Purchases!I:I,MATCH(O433*1,Purchases!A:A,0)),0))</f>
        <v>0</v>
      </c>
      <c r="M433" s="44" t="n">
        <f aca="false">IF(G433="",0,K433-L433)</f>
        <v>0</v>
      </c>
      <c r="N433" s="49" t="str">
        <f aca="false">IFERROR(IF(G433="","",M433/G433),"")</f>
        <v/>
      </c>
      <c r="S433" s="49" t="n">
        <f aca="false">IFERROR(VLOOKUP(H433,Settings!B14:C25,2,FALSE()),0)</f>
        <v>0</v>
      </c>
    </row>
    <row r="434" customFormat="false" ht="15" hidden="false" customHeight="false" outlineLevel="0" collapsed="false">
      <c r="A434" s="37" t="str">
        <f aca="false">IF(B434="","",ROW()-3)</f>
        <v/>
      </c>
      <c r="B434" s="38"/>
      <c r="C434" s="39"/>
      <c r="D434" s="39"/>
      <c r="E434" s="39"/>
      <c r="F434" s="39"/>
      <c r="G434" s="40"/>
      <c r="H434" s="39"/>
      <c r="I434" s="40" t="n">
        <f aca="false">IF(G434="",0,G434*S434)</f>
        <v>0</v>
      </c>
      <c r="J434" s="40"/>
      <c r="K434" s="40" t="n">
        <f aca="false">IF(G434="",0,G434-I434-IF(J434="",0,J434))</f>
        <v>0</v>
      </c>
      <c r="L434" s="40" t="n">
        <f aca="false">IF(O434="",0,IFERROR(INDEX(Purchases!I:I,MATCH(O434*1,Purchases!A:A,0)),0))</f>
        <v>0</v>
      </c>
      <c r="M434" s="40" t="n">
        <f aca="false">IF(G434="",0,K434-L434)</f>
        <v>0</v>
      </c>
      <c r="N434" s="48" t="str">
        <f aca="false">IFERROR(IF(G434="","",M434/G434),"")</f>
        <v/>
      </c>
      <c r="O434" s="39"/>
      <c r="P434" s="39"/>
      <c r="Q434" s="39"/>
      <c r="R434" s="39"/>
      <c r="S434" s="48" t="n">
        <f aca="false">IFERROR(VLOOKUP(H434,Settings!B14:C25,2,FALSE()),0)</f>
        <v>0</v>
      </c>
    </row>
    <row r="435" customFormat="false" ht="15" hidden="false" customHeight="false" outlineLevel="0" collapsed="false">
      <c r="A435" s="41" t="str">
        <f aca="false">IF(B435="","",ROW()-3)</f>
        <v/>
      </c>
      <c r="B435" s="42"/>
      <c r="G435" s="44"/>
      <c r="I435" s="44" t="n">
        <f aca="false">IF(G435="",0,G435*S435)</f>
        <v>0</v>
      </c>
      <c r="J435" s="44"/>
      <c r="K435" s="44" t="n">
        <f aca="false">IF(G435="",0,G435-I435-IF(J435="",0,J435))</f>
        <v>0</v>
      </c>
      <c r="L435" s="44" t="n">
        <f aca="false">IF(O435="",0,IFERROR(INDEX(Purchases!I:I,MATCH(O435*1,Purchases!A:A,0)),0))</f>
        <v>0</v>
      </c>
      <c r="M435" s="44" t="n">
        <f aca="false">IF(G435="",0,K435-L435)</f>
        <v>0</v>
      </c>
      <c r="N435" s="49" t="str">
        <f aca="false">IFERROR(IF(G435="","",M435/G435),"")</f>
        <v/>
      </c>
      <c r="S435" s="49" t="n">
        <f aca="false">IFERROR(VLOOKUP(H435,Settings!B14:C25,2,FALSE()),0)</f>
        <v>0</v>
      </c>
    </row>
    <row r="436" customFormat="false" ht="15" hidden="false" customHeight="false" outlineLevel="0" collapsed="false">
      <c r="A436" s="37" t="str">
        <f aca="false">IF(B436="","",ROW()-3)</f>
        <v/>
      </c>
      <c r="B436" s="38"/>
      <c r="C436" s="39"/>
      <c r="D436" s="39"/>
      <c r="E436" s="39"/>
      <c r="F436" s="39"/>
      <c r="G436" s="40"/>
      <c r="H436" s="39"/>
      <c r="I436" s="40" t="n">
        <f aca="false">IF(G436="",0,G436*S436)</f>
        <v>0</v>
      </c>
      <c r="J436" s="40"/>
      <c r="K436" s="40" t="n">
        <f aca="false">IF(G436="",0,G436-I436-IF(J436="",0,J436))</f>
        <v>0</v>
      </c>
      <c r="L436" s="40" t="n">
        <f aca="false">IF(O436="",0,IFERROR(INDEX(Purchases!I:I,MATCH(O436*1,Purchases!A:A,0)),0))</f>
        <v>0</v>
      </c>
      <c r="M436" s="40" t="n">
        <f aca="false">IF(G436="",0,K436-L436)</f>
        <v>0</v>
      </c>
      <c r="N436" s="48" t="str">
        <f aca="false">IFERROR(IF(G436="","",M436/G436),"")</f>
        <v/>
      </c>
      <c r="O436" s="39"/>
      <c r="P436" s="39"/>
      <c r="Q436" s="39"/>
      <c r="R436" s="39"/>
      <c r="S436" s="48" t="n">
        <f aca="false">IFERROR(VLOOKUP(H436,Settings!B14:C25,2,FALSE()),0)</f>
        <v>0</v>
      </c>
    </row>
    <row r="437" customFormat="false" ht="15" hidden="false" customHeight="false" outlineLevel="0" collapsed="false">
      <c r="A437" s="41" t="str">
        <f aca="false">IF(B437="","",ROW()-3)</f>
        <v/>
      </c>
      <c r="B437" s="42"/>
      <c r="G437" s="44"/>
      <c r="I437" s="44" t="n">
        <f aca="false">IF(G437="",0,G437*S437)</f>
        <v>0</v>
      </c>
      <c r="J437" s="44"/>
      <c r="K437" s="44" t="n">
        <f aca="false">IF(G437="",0,G437-I437-IF(J437="",0,J437))</f>
        <v>0</v>
      </c>
      <c r="L437" s="44" t="n">
        <f aca="false">IF(O437="",0,IFERROR(INDEX(Purchases!I:I,MATCH(O437*1,Purchases!A:A,0)),0))</f>
        <v>0</v>
      </c>
      <c r="M437" s="44" t="n">
        <f aca="false">IF(G437="",0,K437-L437)</f>
        <v>0</v>
      </c>
      <c r="N437" s="49" t="str">
        <f aca="false">IFERROR(IF(G437="","",M437/G437),"")</f>
        <v/>
      </c>
      <c r="S437" s="49" t="n">
        <f aca="false">IFERROR(VLOOKUP(H437,Settings!B14:C25,2,FALSE()),0)</f>
        <v>0</v>
      </c>
    </row>
    <row r="438" customFormat="false" ht="15" hidden="false" customHeight="false" outlineLevel="0" collapsed="false">
      <c r="A438" s="37" t="str">
        <f aca="false">IF(B438="","",ROW()-3)</f>
        <v/>
      </c>
      <c r="B438" s="38"/>
      <c r="C438" s="39"/>
      <c r="D438" s="39"/>
      <c r="E438" s="39"/>
      <c r="F438" s="39"/>
      <c r="G438" s="40"/>
      <c r="H438" s="39"/>
      <c r="I438" s="40" t="n">
        <f aca="false">IF(G438="",0,G438*S438)</f>
        <v>0</v>
      </c>
      <c r="J438" s="40"/>
      <c r="K438" s="40" t="n">
        <f aca="false">IF(G438="",0,G438-I438-IF(J438="",0,J438))</f>
        <v>0</v>
      </c>
      <c r="L438" s="40" t="n">
        <f aca="false">IF(O438="",0,IFERROR(INDEX(Purchases!I:I,MATCH(O438*1,Purchases!A:A,0)),0))</f>
        <v>0</v>
      </c>
      <c r="M438" s="40" t="n">
        <f aca="false">IF(G438="",0,K438-L438)</f>
        <v>0</v>
      </c>
      <c r="N438" s="48" t="str">
        <f aca="false">IFERROR(IF(G438="","",M438/G438),"")</f>
        <v/>
      </c>
      <c r="O438" s="39"/>
      <c r="P438" s="39"/>
      <c r="Q438" s="39"/>
      <c r="R438" s="39"/>
      <c r="S438" s="48" t="n">
        <f aca="false">IFERROR(VLOOKUP(H438,Settings!B14:C25,2,FALSE()),0)</f>
        <v>0</v>
      </c>
    </row>
    <row r="439" customFormat="false" ht="15" hidden="false" customHeight="false" outlineLevel="0" collapsed="false">
      <c r="A439" s="41" t="str">
        <f aca="false">IF(B439="","",ROW()-3)</f>
        <v/>
      </c>
      <c r="B439" s="42"/>
      <c r="G439" s="44"/>
      <c r="I439" s="44" t="n">
        <f aca="false">IF(G439="",0,G439*S439)</f>
        <v>0</v>
      </c>
      <c r="J439" s="44"/>
      <c r="K439" s="44" t="n">
        <f aca="false">IF(G439="",0,G439-I439-IF(J439="",0,J439))</f>
        <v>0</v>
      </c>
      <c r="L439" s="44" t="n">
        <f aca="false">IF(O439="",0,IFERROR(INDEX(Purchases!I:I,MATCH(O439*1,Purchases!A:A,0)),0))</f>
        <v>0</v>
      </c>
      <c r="M439" s="44" t="n">
        <f aca="false">IF(G439="",0,K439-L439)</f>
        <v>0</v>
      </c>
      <c r="N439" s="49" t="str">
        <f aca="false">IFERROR(IF(G439="","",M439/G439),"")</f>
        <v/>
      </c>
      <c r="S439" s="49" t="n">
        <f aca="false">IFERROR(VLOOKUP(H439,Settings!B14:C25,2,FALSE()),0)</f>
        <v>0</v>
      </c>
    </row>
    <row r="440" customFormat="false" ht="15" hidden="false" customHeight="false" outlineLevel="0" collapsed="false">
      <c r="A440" s="37" t="str">
        <f aca="false">IF(B440="","",ROW()-3)</f>
        <v/>
      </c>
      <c r="B440" s="38"/>
      <c r="C440" s="39"/>
      <c r="D440" s="39"/>
      <c r="E440" s="39"/>
      <c r="F440" s="39"/>
      <c r="G440" s="40"/>
      <c r="H440" s="39"/>
      <c r="I440" s="40" t="n">
        <f aca="false">IF(G440="",0,G440*S440)</f>
        <v>0</v>
      </c>
      <c r="J440" s="40"/>
      <c r="K440" s="40" t="n">
        <f aca="false">IF(G440="",0,G440-I440-IF(J440="",0,J440))</f>
        <v>0</v>
      </c>
      <c r="L440" s="40" t="n">
        <f aca="false">IF(O440="",0,IFERROR(INDEX(Purchases!I:I,MATCH(O440*1,Purchases!A:A,0)),0))</f>
        <v>0</v>
      </c>
      <c r="M440" s="40" t="n">
        <f aca="false">IF(G440="",0,K440-L440)</f>
        <v>0</v>
      </c>
      <c r="N440" s="48" t="str">
        <f aca="false">IFERROR(IF(G440="","",M440/G440),"")</f>
        <v/>
      </c>
      <c r="O440" s="39"/>
      <c r="P440" s="39"/>
      <c r="Q440" s="39"/>
      <c r="R440" s="39"/>
      <c r="S440" s="48" t="n">
        <f aca="false">IFERROR(VLOOKUP(H440,Settings!B14:C25,2,FALSE()),0)</f>
        <v>0</v>
      </c>
    </row>
    <row r="441" customFormat="false" ht="15" hidden="false" customHeight="false" outlineLevel="0" collapsed="false">
      <c r="A441" s="41" t="str">
        <f aca="false">IF(B441="","",ROW()-3)</f>
        <v/>
      </c>
      <c r="B441" s="42"/>
      <c r="G441" s="44"/>
      <c r="I441" s="44" t="n">
        <f aca="false">IF(G441="",0,G441*S441)</f>
        <v>0</v>
      </c>
      <c r="J441" s="44"/>
      <c r="K441" s="44" t="n">
        <f aca="false">IF(G441="",0,G441-I441-IF(J441="",0,J441))</f>
        <v>0</v>
      </c>
      <c r="L441" s="44" t="n">
        <f aca="false">IF(O441="",0,IFERROR(INDEX(Purchases!I:I,MATCH(O441*1,Purchases!A:A,0)),0))</f>
        <v>0</v>
      </c>
      <c r="M441" s="44" t="n">
        <f aca="false">IF(G441="",0,K441-L441)</f>
        <v>0</v>
      </c>
      <c r="N441" s="49" t="str">
        <f aca="false">IFERROR(IF(G441="","",M441/G441),"")</f>
        <v/>
      </c>
      <c r="S441" s="49" t="n">
        <f aca="false">IFERROR(VLOOKUP(H441,Settings!B14:C25,2,FALSE()),0)</f>
        <v>0</v>
      </c>
    </row>
    <row r="442" customFormat="false" ht="15" hidden="false" customHeight="false" outlineLevel="0" collapsed="false">
      <c r="A442" s="37" t="str">
        <f aca="false">IF(B442="","",ROW()-3)</f>
        <v/>
      </c>
      <c r="B442" s="38"/>
      <c r="C442" s="39"/>
      <c r="D442" s="39"/>
      <c r="E442" s="39"/>
      <c r="F442" s="39"/>
      <c r="G442" s="40"/>
      <c r="H442" s="39"/>
      <c r="I442" s="40" t="n">
        <f aca="false">IF(G442="",0,G442*S442)</f>
        <v>0</v>
      </c>
      <c r="J442" s="40"/>
      <c r="K442" s="40" t="n">
        <f aca="false">IF(G442="",0,G442-I442-IF(J442="",0,J442))</f>
        <v>0</v>
      </c>
      <c r="L442" s="40" t="n">
        <f aca="false">IF(O442="",0,IFERROR(INDEX(Purchases!I:I,MATCH(O442*1,Purchases!A:A,0)),0))</f>
        <v>0</v>
      </c>
      <c r="M442" s="40" t="n">
        <f aca="false">IF(G442="",0,K442-L442)</f>
        <v>0</v>
      </c>
      <c r="N442" s="48" t="str">
        <f aca="false">IFERROR(IF(G442="","",M442/G442),"")</f>
        <v/>
      </c>
      <c r="O442" s="39"/>
      <c r="P442" s="39"/>
      <c r="Q442" s="39"/>
      <c r="R442" s="39"/>
      <c r="S442" s="48" t="n">
        <f aca="false">IFERROR(VLOOKUP(H442,Settings!B14:C25,2,FALSE()),0)</f>
        <v>0</v>
      </c>
    </row>
    <row r="443" customFormat="false" ht="15" hidden="false" customHeight="false" outlineLevel="0" collapsed="false">
      <c r="A443" s="41" t="str">
        <f aca="false">IF(B443="","",ROW()-3)</f>
        <v/>
      </c>
      <c r="B443" s="42"/>
      <c r="G443" s="44"/>
      <c r="I443" s="44" t="n">
        <f aca="false">IF(G443="",0,G443*S443)</f>
        <v>0</v>
      </c>
      <c r="J443" s="44"/>
      <c r="K443" s="44" t="n">
        <f aca="false">IF(G443="",0,G443-I443-IF(J443="",0,J443))</f>
        <v>0</v>
      </c>
      <c r="L443" s="44" t="n">
        <f aca="false">IF(O443="",0,IFERROR(INDEX(Purchases!I:I,MATCH(O443*1,Purchases!A:A,0)),0))</f>
        <v>0</v>
      </c>
      <c r="M443" s="44" t="n">
        <f aca="false">IF(G443="",0,K443-L443)</f>
        <v>0</v>
      </c>
      <c r="N443" s="49" t="str">
        <f aca="false">IFERROR(IF(G443="","",M443/G443),"")</f>
        <v/>
      </c>
      <c r="S443" s="49" t="n">
        <f aca="false">IFERROR(VLOOKUP(H443,Settings!B14:C25,2,FALSE()),0)</f>
        <v>0</v>
      </c>
    </row>
    <row r="444" customFormat="false" ht="15" hidden="false" customHeight="false" outlineLevel="0" collapsed="false">
      <c r="A444" s="37" t="str">
        <f aca="false">IF(B444="","",ROW()-3)</f>
        <v/>
      </c>
      <c r="B444" s="38"/>
      <c r="C444" s="39"/>
      <c r="D444" s="39"/>
      <c r="E444" s="39"/>
      <c r="F444" s="39"/>
      <c r="G444" s="40"/>
      <c r="H444" s="39"/>
      <c r="I444" s="40" t="n">
        <f aca="false">IF(G444="",0,G444*S444)</f>
        <v>0</v>
      </c>
      <c r="J444" s="40"/>
      <c r="K444" s="40" t="n">
        <f aca="false">IF(G444="",0,G444-I444-IF(J444="",0,J444))</f>
        <v>0</v>
      </c>
      <c r="L444" s="40" t="n">
        <f aca="false">IF(O444="",0,IFERROR(INDEX(Purchases!I:I,MATCH(O444*1,Purchases!A:A,0)),0))</f>
        <v>0</v>
      </c>
      <c r="M444" s="40" t="n">
        <f aca="false">IF(G444="",0,K444-L444)</f>
        <v>0</v>
      </c>
      <c r="N444" s="48" t="str">
        <f aca="false">IFERROR(IF(G444="","",M444/G444),"")</f>
        <v/>
      </c>
      <c r="O444" s="39"/>
      <c r="P444" s="39"/>
      <c r="Q444" s="39"/>
      <c r="R444" s="39"/>
      <c r="S444" s="48" t="n">
        <f aca="false">IFERROR(VLOOKUP(H444,Settings!B14:C25,2,FALSE()),0)</f>
        <v>0</v>
      </c>
    </row>
    <row r="445" customFormat="false" ht="15" hidden="false" customHeight="false" outlineLevel="0" collapsed="false">
      <c r="A445" s="41" t="str">
        <f aca="false">IF(B445="","",ROW()-3)</f>
        <v/>
      </c>
      <c r="B445" s="42"/>
      <c r="G445" s="44"/>
      <c r="I445" s="44" t="n">
        <f aca="false">IF(G445="",0,G445*S445)</f>
        <v>0</v>
      </c>
      <c r="J445" s="44"/>
      <c r="K445" s="44" t="n">
        <f aca="false">IF(G445="",0,G445-I445-IF(J445="",0,J445))</f>
        <v>0</v>
      </c>
      <c r="L445" s="44" t="n">
        <f aca="false">IF(O445="",0,IFERROR(INDEX(Purchases!I:I,MATCH(O445*1,Purchases!A:A,0)),0))</f>
        <v>0</v>
      </c>
      <c r="M445" s="44" t="n">
        <f aca="false">IF(G445="",0,K445-L445)</f>
        <v>0</v>
      </c>
      <c r="N445" s="49" t="str">
        <f aca="false">IFERROR(IF(G445="","",M445/G445),"")</f>
        <v/>
      </c>
      <c r="S445" s="49" t="n">
        <f aca="false">IFERROR(VLOOKUP(H445,Settings!B14:C25,2,FALSE()),0)</f>
        <v>0</v>
      </c>
    </row>
    <row r="446" customFormat="false" ht="15" hidden="false" customHeight="false" outlineLevel="0" collapsed="false">
      <c r="A446" s="37" t="str">
        <f aca="false">IF(B446="","",ROW()-3)</f>
        <v/>
      </c>
      <c r="B446" s="38"/>
      <c r="C446" s="39"/>
      <c r="D446" s="39"/>
      <c r="E446" s="39"/>
      <c r="F446" s="39"/>
      <c r="G446" s="40"/>
      <c r="H446" s="39"/>
      <c r="I446" s="40" t="n">
        <f aca="false">IF(G446="",0,G446*S446)</f>
        <v>0</v>
      </c>
      <c r="J446" s="40"/>
      <c r="K446" s="40" t="n">
        <f aca="false">IF(G446="",0,G446-I446-IF(J446="",0,J446))</f>
        <v>0</v>
      </c>
      <c r="L446" s="40" t="n">
        <f aca="false">IF(O446="",0,IFERROR(INDEX(Purchases!I:I,MATCH(O446*1,Purchases!A:A,0)),0))</f>
        <v>0</v>
      </c>
      <c r="M446" s="40" t="n">
        <f aca="false">IF(G446="",0,K446-L446)</f>
        <v>0</v>
      </c>
      <c r="N446" s="48" t="str">
        <f aca="false">IFERROR(IF(G446="","",M446/G446),"")</f>
        <v/>
      </c>
      <c r="O446" s="39"/>
      <c r="P446" s="39"/>
      <c r="Q446" s="39"/>
      <c r="R446" s="39"/>
      <c r="S446" s="48" t="n">
        <f aca="false">IFERROR(VLOOKUP(H446,Settings!B14:C25,2,FALSE()),0)</f>
        <v>0</v>
      </c>
    </row>
    <row r="447" customFormat="false" ht="15" hidden="false" customHeight="false" outlineLevel="0" collapsed="false">
      <c r="A447" s="41" t="str">
        <f aca="false">IF(B447="","",ROW()-3)</f>
        <v/>
      </c>
      <c r="B447" s="42"/>
      <c r="G447" s="44"/>
      <c r="I447" s="44" t="n">
        <f aca="false">IF(G447="",0,G447*S447)</f>
        <v>0</v>
      </c>
      <c r="J447" s="44"/>
      <c r="K447" s="44" t="n">
        <f aca="false">IF(G447="",0,G447-I447-IF(J447="",0,J447))</f>
        <v>0</v>
      </c>
      <c r="L447" s="44" t="n">
        <f aca="false">IF(O447="",0,IFERROR(INDEX(Purchases!I:I,MATCH(O447*1,Purchases!A:A,0)),0))</f>
        <v>0</v>
      </c>
      <c r="M447" s="44" t="n">
        <f aca="false">IF(G447="",0,K447-L447)</f>
        <v>0</v>
      </c>
      <c r="N447" s="49" t="str">
        <f aca="false">IFERROR(IF(G447="","",M447/G447),"")</f>
        <v/>
      </c>
      <c r="S447" s="49" t="n">
        <f aca="false">IFERROR(VLOOKUP(H447,Settings!B14:C25,2,FALSE()),0)</f>
        <v>0</v>
      </c>
    </row>
    <row r="448" customFormat="false" ht="15" hidden="false" customHeight="false" outlineLevel="0" collapsed="false">
      <c r="A448" s="37" t="str">
        <f aca="false">IF(B448="","",ROW()-3)</f>
        <v/>
      </c>
      <c r="B448" s="38"/>
      <c r="C448" s="39"/>
      <c r="D448" s="39"/>
      <c r="E448" s="39"/>
      <c r="F448" s="39"/>
      <c r="G448" s="40"/>
      <c r="H448" s="39"/>
      <c r="I448" s="40" t="n">
        <f aca="false">IF(G448="",0,G448*S448)</f>
        <v>0</v>
      </c>
      <c r="J448" s="40"/>
      <c r="K448" s="40" t="n">
        <f aca="false">IF(G448="",0,G448-I448-IF(J448="",0,J448))</f>
        <v>0</v>
      </c>
      <c r="L448" s="40" t="n">
        <f aca="false">IF(O448="",0,IFERROR(INDEX(Purchases!I:I,MATCH(O448*1,Purchases!A:A,0)),0))</f>
        <v>0</v>
      </c>
      <c r="M448" s="40" t="n">
        <f aca="false">IF(G448="",0,K448-L448)</f>
        <v>0</v>
      </c>
      <c r="N448" s="48" t="str">
        <f aca="false">IFERROR(IF(G448="","",M448/G448),"")</f>
        <v/>
      </c>
      <c r="O448" s="39"/>
      <c r="P448" s="39"/>
      <c r="Q448" s="39"/>
      <c r="R448" s="39"/>
      <c r="S448" s="48" t="n">
        <f aca="false">IFERROR(VLOOKUP(H448,Settings!B14:C25,2,FALSE()),0)</f>
        <v>0</v>
      </c>
    </row>
    <row r="449" customFormat="false" ht="15" hidden="false" customHeight="false" outlineLevel="0" collapsed="false">
      <c r="A449" s="41" t="str">
        <f aca="false">IF(B449="","",ROW()-3)</f>
        <v/>
      </c>
      <c r="B449" s="42"/>
      <c r="G449" s="44"/>
      <c r="I449" s="44" t="n">
        <f aca="false">IF(G449="",0,G449*S449)</f>
        <v>0</v>
      </c>
      <c r="J449" s="44"/>
      <c r="K449" s="44" t="n">
        <f aca="false">IF(G449="",0,G449-I449-IF(J449="",0,J449))</f>
        <v>0</v>
      </c>
      <c r="L449" s="44" t="n">
        <f aca="false">IF(O449="",0,IFERROR(INDEX(Purchases!I:I,MATCH(O449*1,Purchases!A:A,0)),0))</f>
        <v>0</v>
      </c>
      <c r="M449" s="44" t="n">
        <f aca="false">IF(G449="",0,K449-L449)</f>
        <v>0</v>
      </c>
      <c r="N449" s="49" t="str">
        <f aca="false">IFERROR(IF(G449="","",M449/G449),"")</f>
        <v/>
      </c>
      <c r="S449" s="49" t="n">
        <f aca="false">IFERROR(VLOOKUP(H449,Settings!B14:C25,2,FALSE()),0)</f>
        <v>0</v>
      </c>
    </row>
    <row r="450" customFormat="false" ht="15" hidden="false" customHeight="false" outlineLevel="0" collapsed="false">
      <c r="A450" s="37" t="str">
        <f aca="false">IF(B450="","",ROW()-3)</f>
        <v/>
      </c>
      <c r="B450" s="38"/>
      <c r="C450" s="39"/>
      <c r="D450" s="39"/>
      <c r="E450" s="39"/>
      <c r="F450" s="39"/>
      <c r="G450" s="40"/>
      <c r="H450" s="39"/>
      <c r="I450" s="40" t="n">
        <f aca="false">IF(G450="",0,G450*S450)</f>
        <v>0</v>
      </c>
      <c r="J450" s="40"/>
      <c r="K450" s="40" t="n">
        <f aca="false">IF(G450="",0,G450-I450-IF(J450="",0,J450))</f>
        <v>0</v>
      </c>
      <c r="L450" s="40" t="n">
        <f aca="false">IF(O450="",0,IFERROR(INDEX(Purchases!I:I,MATCH(O450*1,Purchases!A:A,0)),0))</f>
        <v>0</v>
      </c>
      <c r="M450" s="40" t="n">
        <f aca="false">IF(G450="",0,K450-L450)</f>
        <v>0</v>
      </c>
      <c r="N450" s="48" t="str">
        <f aca="false">IFERROR(IF(G450="","",M450/G450),"")</f>
        <v/>
      </c>
      <c r="O450" s="39"/>
      <c r="P450" s="39"/>
      <c r="Q450" s="39"/>
      <c r="R450" s="39"/>
      <c r="S450" s="48" t="n">
        <f aca="false">IFERROR(VLOOKUP(H450,Settings!B14:C25,2,FALSE()),0)</f>
        <v>0</v>
      </c>
    </row>
    <row r="451" customFormat="false" ht="15" hidden="false" customHeight="false" outlineLevel="0" collapsed="false">
      <c r="A451" s="41" t="str">
        <f aca="false">IF(B451="","",ROW()-3)</f>
        <v/>
      </c>
      <c r="B451" s="42"/>
      <c r="G451" s="44"/>
      <c r="I451" s="44" t="n">
        <f aca="false">IF(G451="",0,G451*S451)</f>
        <v>0</v>
      </c>
      <c r="J451" s="44"/>
      <c r="K451" s="44" t="n">
        <f aca="false">IF(G451="",0,G451-I451-IF(J451="",0,J451))</f>
        <v>0</v>
      </c>
      <c r="L451" s="44" t="n">
        <f aca="false">IF(O451="",0,IFERROR(INDEX(Purchases!I:I,MATCH(O451*1,Purchases!A:A,0)),0))</f>
        <v>0</v>
      </c>
      <c r="M451" s="44" t="n">
        <f aca="false">IF(G451="",0,K451-L451)</f>
        <v>0</v>
      </c>
      <c r="N451" s="49" t="str">
        <f aca="false">IFERROR(IF(G451="","",M451/G451),"")</f>
        <v/>
      </c>
      <c r="S451" s="49" t="n">
        <f aca="false">IFERROR(VLOOKUP(H451,Settings!B14:C25,2,FALSE()),0)</f>
        <v>0</v>
      </c>
    </row>
    <row r="452" customFormat="false" ht="15" hidden="false" customHeight="false" outlineLevel="0" collapsed="false">
      <c r="A452" s="37" t="str">
        <f aca="false">IF(B452="","",ROW()-3)</f>
        <v/>
      </c>
      <c r="B452" s="38"/>
      <c r="C452" s="39"/>
      <c r="D452" s="39"/>
      <c r="E452" s="39"/>
      <c r="F452" s="39"/>
      <c r="G452" s="40"/>
      <c r="H452" s="39"/>
      <c r="I452" s="40" t="n">
        <f aca="false">IF(G452="",0,G452*S452)</f>
        <v>0</v>
      </c>
      <c r="J452" s="40"/>
      <c r="K452" s="40" t="n">
        <f aca="false">IF(G452="",0,G452-I452-IF(J452="",0,J452))</f>
        <v>0</v>
      </c>
      <c r="L452" s="40" t="n">
        <f aca="false">IF(O452="",0,IFERROR(INDEX(Purchases!I:I,MATCH(O452*1,Purchases!A:A,0)),0))</f>
        <v>0</v>
      </c>
      <c r="M452" s="40" t="n">
        <f aca="false">IF(G452="",0,K452-L452)</f>
        <v>0</v>
      </c>
      <c r="N452" s="48" t="str">
        <f aca="false">IFERROR(IF(G452="","",M452/G452),"")</f>
        <v/>
      </c>
      <c r="O452" s="39"/>
      <c r="P452" s="39"/>
      <c r="Q452" s="39"/>
      <c r="R452" s="39"/>
      <c r="S452" s="48" t="n">
        <f aca="false">IFERROR(VLOOKUP(H452,Settings!B14:C25,2,FALSE()),0)</f>
        <v>0</v>
      </c>
    </row>
    <row r="453" customFormat="false" ht="15" hidden="false" customHeight="false" outlineLevel="0" collapsed="false">
      <c r="A453" s="41" t="str">
        <f aca="false">IF(B453="","",ROW()-3)</f>
        <v/>
      </c>
      <c r="B453" s="42"/>
      <c r="G453" s="44"/>
      <c r="I453" s="44" t="n">
        <f aca="false">IF(G453="",0,G453*S453)</f>
        <v>0</v>
      </c>
      <c r="J453" s="44"/>
      <c r="K453" s="44" t="n">
        <f aca="false">IF(G453="",0,G453-I453-IF(J453="",0,J453))</f>
        <v>0</v>
      </c>
      <c r="L453" s="44" t="n">
        <f aca="false">IF(O453="",0,IFERROR(INDEX(Purchases!I:I,MATCH(O453*1,Purchases!A:A,0)),0))</f>
        <v>0</v>
      </c>
      <c r="M453" s="44" t="n">
        <f aca="false">IF(G453="",0,K453-L453)</f>
        <v>0</v>
      </c>
      <c r="N453" s="49" t="str">
        <f aca="false">IFERROR(IF(G453="","",M453/G453),"")</f>
        <v/>
      </c>
      <c r="S453" s="49" t="n">
        <f aca="false">IFERROR(VLOOKUP(H453,Settings!B14:C25,2,FALSE()),0)</f>
        <v>0</v>
      </c>
    </row>
    <row r="454" customFormat="false" ht="15" hidden="false" customHeight="false" outlineLevel="0" collapsed="false">
      <c r="A454" s="37" t="str">
        <f aca="false">IF(B454="","",ROW()-3)</f>
        <v/>
      </c>
      <c r="B454" s="38"/>
      <c r="C454" s="39"/>
      <c r="D454" s="39"/>
      <c r="E454" s="39"/>
      <c r="F454" s="39"/>
      <c r="G454" s="40"/>
      <c r="H454" s="39"/>
      <c r="I454" s="40" t="n">
        <f aca="false">IF(G454="",0,G454*S454)</f>
        <v>0</v>
      </c>
      <c r="J454" s="40"/>
      <c r="K454" s="40" t="n">
        <f aca="false">IF(G454="",0,G454-I454-IF(J454="",0,J454))</f>
        <v>0</v>
      </c>
      <c r="L454" s="40" t="n">
        <f aca="false">IF(O454="",0,IFERROR(INDEX(Purchases!I:I,MATCH(O454*1,Purchases!A:A,0)),0))</f>
        <v>0</v>
      </c>
      <c r="M454" s="40" t="n">
        <f aca="false">IF(G454="",0,K454-L454)</f>
        <v>0</v>
      </c>
      <c r="N454" s="48" t="str">
        <f aca="false">IFERROR(IF(G454="","",M454/G454),"")</f>
        <v/>
      </c>
      <c r="O454" s="39"/>
      <c r="P454" s="39"/>
      <c r="Q454" s="39"/>
      <c r="R454" s="39"/>
      <c r="S454" s="48" t="n">
        <f aca="false">IFERROR(VLOOKUP(H454,Settings!B14:C25,2,FALSE()),0)</f>
        <v>0</v>
      </c>
    </row>
    <row r="455" customFormat="false" ht="15" hidden="false" customHeight="false" outlineLevel="0" collapsed="false">
      <c r="A455" s="41" t="str">
        <f aca="false">IF(B455="","",ROW()-3)</f>
        <v/>
      </c>
      <c r="B455" s="42"/>
      <c r="G455" s="44"/>
      <c r="I455" s="44" t="n">
        <f aca="false">IF(G455="",0,G455*S455)</f>
        <v>0</v>
      </c>
      <c r="J455" s="44"/>
      <c r="K455" s="44" t="n">
        <f aca="false">IF(G455="",0,G455-I455-IF(J455="",0,J455))</f>
        <v>0</v>
      </c>
      <c r="L455" s="44" t="n">
        <f aca="false">IF(O455="",0,IFERROR(INDEX(Purchases!I:I,MATCH(O455*1,Purchases!A:A,0)),0))</f>
        <v>0</v>
      </c>
      <c r="M455" s="44" t="n">
        <f aca="false">IF(G455="",0,K455-L455)</f>
        <v>0</v>
      </c>
      <c r="N455" s="49" t="str">
        <f aca="false">IFERROR(IF(G455="","",M455/G455),"")</f>
        <v/>
      </c>
      <c r="S455" s="49" t="n">
        <f aca="false">IFERROR(VLOOKUP(H455,Settings!B14:C25,2,FALSE()),0)</f>
        <v>0</v>
      </c>
    </row>
    <row r="456" customFormat="false" ht="15" hidden="false" customHeight="false" outlineLevel="0" collapsed="false">
      <c r="A456" s="37" t="str">
        <f aca="false">IF(B456="","",ROW()-3)</f>
        <v/>
      </c>
      <c r="B456" s="38"/>
      <c r="C456" s="39"/>
      <c r="D456" s="39"/>
      <c r="E456" s="39"/>
      <c r="F456" s="39"/>
      <c r="G456" s="40"/>
      <c r="H456" s="39"/>
      <c r="I456" s="40" t="n">
        <f aca="false">IF(G456="",0,G456*S456)</f>
        <v>0</v>
      </c>
      <c r="J456" s="40"/>
      <c r="K456" s="40" t="n">
        <f aca="false">IF(G456="",0,G456-I456-IF(J456="",0,J456))</f>
        <v>0</v>
      </c>
      <c r="L456" s="40" t="n">
        <f aca="false">IF(O456="",0,IFERROR(INDEX(Purchases!I:I,MATCH(O456*1,Purchases!A:A,0)),0))</f>
        <v>0</v>
      </c>
      <c r="M456" s="40" t="n">
        <f aca="false">IF(G456="",0,K456-L456)</f>
        <v>0</v>
      </c>
      <c r="N456" s="48" t="str">
        <f aca="false">IFERROR(IF(G456="","",M456/G456),"")</f>
        <v/>
      </c>
      <c r="O456" s="39"/>
      <c r="P456" s="39"/>
      <c r="Q456" s="39"/>
      <c r="R456" s="39"/>
      <c r="S456" s="48" t="n">
        <f aca="false">IFERROR(VLOOKUP(H456,Settings!B14:C25,2,FALSE()),0)</f>
        <v>0</v>
      </c>
    </row>
    <row r="457" customFormat="false" ht="15" hidden="false" customHeight="false" outlineLevel="0" collapsed="false">
      <c r="A457" s="41" t="str">
        <f aca="false">IF(B457="","",ROW()-3)</f>
        <v/>
      </c>
      <c r="B457" s="42"/>
      <c r="G457" s="44"/>
      <c r="I457" s="44" t="n">
        <f aca="false">IF(G457="",0,G457*S457)</f>
        <v>0</v>
      </c>
      <c r="J457" s="44"/>
      <c r="K457" s="44" t="n">
        <f aca="false">IF(G457="",0,G457-I457-IF(J457="",0,J457))</f>
        <v>0</v>
      </c>
      <c r="L457" s="44" t="n">
        <f aca="false">IF(O457="",0,IFERROR(INDEX(Purchases!I:I,MATCH(O457*1,Purchases!A:A,0)),0))</f>
        <v>0</v>
      </c>
      <c r="M457" s="44" t="n">
        <f aca="false">IF(G457="",0,K457-L457)</f>
        <v>0</v>
      </c>
      <c r="N457" s="49" t="str">
        <f aca="false">IFERROR(IF(G457="","",M457/G457),"")</f>
        <v/>
      </c>
      <c r="S457" s="49" t="n">
        <f aca="false">IFERROR(VLOOKUP(H457,Settings!B14:C25,2,FALSE()),0)</f>
        <v>0</v>
      </c>
    </row>
    <row r="458" customFormat="false" ht="15" hidden="false" customHeight="false" outlineLevel="0" collapsed="false">
      <c r="A458" s="37" t="str">
        <f aca="false">IF(B458="","",ROW()-3)</f>
        <v/>
      </c>
      <c r="B458" s="38"/>
      <c r="C458" s="39"/>
      <c r="D458" s="39"/>
      <c r="E458" s="39"/>
      <c r="F458" s="39"/>
      <c r="G458" s="40"/>
      <c r="H458" s="39"/>
      <c r="I458" s="40" t="n">
        <f aca="false">IF(G458="",0,G458*S458)</f>
        <v>0</v>
      </c>
      <c r="J458" s="40"/>
      <c r="K458" s="40" t="n">
        <f aca="false">IF(G458="",0,G458-I458-IF(J458="",0,J458))</f>
        <v>0</v>
      </c>
      <c r="L458" s="40" t="n">
        <f aca="false">IF(O458="",0,IFERROR(INDEX(Purchases!I:I,MATCH(O458*1,Purchases!A:A,0)),0))</f>
        <v>0</v>
      </c>
      <c r="M458" s="40" t="n">
        <f aca="false">IF(G458="",0,K458-L458)</f>
        <v>0</v>
      </c>
      <c r="N458" s="48" t="str">
        <f aca="false">IFERROR(IF(G458="","",M458/G458),"")</f>
        <v/>
      </c>
      <c r="O458" s="39"/>
      <c r="P458" s="39"/>
      <c r="Q458" s="39"/>
      <c r="R458" s="39"/>
      <c r="S458" s="48" t="n">
        <f aca="false">IFERROR(VLOOKUP(H458,Settings!B14:C25,2,FALSE()),0)</f>
        <v>0</v>
      </c>
    </row>
    <row r="459" customFormat="false" ht="15" hidden="false" customHeight="false" outlineLevel="0" collapsed="false">
      <c r="A459" s="41" t="str">
        <f aca="false">IF(B459="","",ROW()-3)</f>
        <v/>
      </c>
      <c r="B459" s="42"/>
      <c r="G459" s="44"/>
      <c r="I459" s="44" t="n">
        <f aca="false">IF(G459="",0,G459*S459)</f>
        <v>0</v>
      </c>
      <c r="J459" s="44"/>
      <c r="K459" s="44" t="n">
        <f aca="false">IF(G459="",0,G459-I459-IF(J459="",0,J459))</f>
        <v>0</v>
      </c>
      <c r="L459" s="44" t="n">
        <f aca="false">IF(O459="",0,IFERROR(INDEX(Purchases!I:I,MATCH(O459*1,Purchases!A:A,0)),0))</f>
        <v>0</v>
      </c>
      <c r="M459" s="44" t="n">
        <f aca="false">IF(G459="",0,K459-L459)</f>
        <v>0</v>
      </c>
      <c r="N459" s="49" t="str">
        <f aca="false">IFERROR(IF(G459="","",M459/G459),"")</f>
        <v/>
      </c>
      <c r="S459" s="49" t="n">
        <f aca="false">IFERROR(VLOOKUP(H459,Settings!B14:C25,2,FALSE()),0)</f>
        <v>0</v>
      </c>
    </row>
    <row r="460" customFormat="false" ht="15" hidden="false" customHeight="false" outlineLevel="0" collapsed="false">
      <c r="A460" s="37" t="str">
        <f aca="false">IF(B460="","",ROW()-3)</f>
        <v/>
      </c>
      <c r="B460" s="38"/>
      <c r="C460" s="39"/>
      <c r="D460" s="39"/>
      <c r="E460" s="39"/>
      <c r="F460" s="39"/>
      <c r="G460" s="40"/>
      <c r="H460" s="39"/>
      <c r="I460" s="40" t="n">
        <f aca="false">IF(G460="",0,G460*S460)</f>
        <v>0</v>
      </c>
      <c r="J460" s="40"/>
      <c r="K460" s="40" t="n">
        <f aca="false">IF(G460="",0,G460-I460-IF(J460="",0,J460))</f>
        <v>0</v>
      </c>
      <c r="L460" s="40" t="n">
        <f aca="false">IF(O460="",0,IFERROR(INDEX(Purchases!I:I,MATCH(O460*1,Purchases!A:A,0)),0))</f>
        <v>0</v>
      </c>
      <c r="M460" s="40" t="n">
        <f aca="false">IF(G460="",0,K460-L460)</f>
        <v>0</v>
      </c>
      <c r="N460" s="48" t="str">
        <f aca="false">IFERROR(IF(G460="","",M460/G460),"")</f>
        <v/>
      </c>
      <c r="O460" s="39"/>
      <c r="P460" s="39"/>
      <c r="Q460" s="39"/>
      <c r="R460" s="39"/>
      <c r="S460" s="48" t="n">
        <f aca="false">IFERROR(VLOOKUP(H460,Settings!B14:C25,2,FALSE()),0)</f>
        <v>0</v>
      </c>
    </row>
    <row r="461" customFormat="false" ht="15" hidden="false" customHeight="false" outlineLevel="0" collapsed="false">
      <c r="A461" s="41" t="str">
        <f aca="false">IF(B461="","",ROW()-3)</f>
        <v/>
      </c>
      <c r="B461" s="42"/>
      <c r="G461" s="44"/>
      <c r="I461" s="44" t="n">
        <f aca="false">IF(G461="",0,G461*S461)</f>
        <v>0</v>
      </c>
      <c r="J461" s="44"/>
      <c r="K461" s="44" t="n">
        <f aca="false">IF(G461="",0,G461-I461-IF(J461="",0,J461))</f>
        <v>0</v>
      </c>
      <c r="L461" s="44" t="n">
        <f aca="false">IF(O461="",0,IFERROR(INDEX(Purchases!I:I,MATCH(O461*1,Purchases!A:A,0)),0))</f>
        <v>0</v>
      </c>
      <c r="M461" s="44" t="n">
        <f aca="false">IF(G461="",0,K461-L461)</f>
        <v>0</v>
      </c>
      <c r="N461" s="49" t="str">
        <f aca="false">IFERROR(IF(G461="","",M461/G461),"")</f>
        <v/>
      </c>
      <c r="S461" s="49" t="n">
        <f aca="false">IFERROR(VLOOKUP(H461,Settings!B14:C25,2,FALSE()),0)</f>
        <v>0</v>
      </c>
    </row>
    <row r="462" customFormat="false" ht="15" hidden="false" customHeight="false" outlineLevel="0" collapsed="false">
      <c r="A462" s="37" t="str">
        <f aca="false">IF(B462="","",ROW()-3)</f>
        <v/>
      </c>
      <c r="B462" s="38"/>
      <c r="C462" s="39"/>
      <c r="D462" s="39"/>
      <c r="E462" s="39"/>
      <c r="F462" s="39"/>
      <c r="G462" s="40"/>
      <c r="H462" s="39"/>
      <c r="I462" s="40" t="n">
        <f aca="false">IF(G462="",0,G462*S462)</f>
        <v>0</v>
      </c>
      <c r="J462" s="40"/>
      <c r="K462" s="40" t="n">
        <f aca="false">IF(G462="",0,G462-I462-IF(J462="",0,J462))</f>
        <v>0</v>
      </c>
      <c r="L462" s="40" t="n">
        <f aca="false">IF(O462="",0,IFERROR(INDEX(Purchases!I:I,MATCH(O462*1,Purchases!A:A,0)),0))</f>
        <v>0</v>
      </c>
      <c r="M462" s="40" t="n">
        <f aca="false">IF(G462="",0,K462-L462)</f>
        <v>0</v>
      </c>
      <c r="N462" s="48" t="str">
        <f aca="false">IFERROR(IF(G462="","",M462/G462),"")</f>
        <v/>
      </c>
      <c r="O462" s="39"/>
      <c r="P462" s="39"/>
      <c r="Q462" s="39"/>
      <c r="R462" s="39"/>
      <c r="S462" s="48" t="n">
        <f aca="false">IFERROR(VLOOKUP(H462,Settings!B14:C25,2,FALSE()),0)</f>
        <v>0</v>
      </c>
    </row>
    <row r="463" customFormat="false" ht="15" hidden="false" customHeight="false" outlineLevel="0" collapsed="false">
      <c r="A463" s="41" t="str">
        <f aca="false">IF(B463="","",ROW()-3)</f>
        <v/>
      </c>
      <c r="B463" s="42"/>
      <c r="G463" s="44"/>
      <c r="I463" s="44" t="n">
        <f aca="false">IF(G463="",0,G463*S463)</f>
        <v>0</v>
      </c>
      <c r="J463" s="44"/>
      <c r="K463" s="44" t="n">
        <f aca="false">IF(G463="",0,G463-I463-IF(J463="",0,J463))</f>
        <v>0</v>
      </c>
      <c r="L463" s="44" t="n">
        <f aca="false">IF(O463="",0,IFERROR(INDEX(Purchases!I:I,MATCH(O463*1,Purchases!A:A,0)),0))</f>
        <v>0</v>
      </c>
      <c r="M463" s="44" t="n">
        <f aca="false">IF(G463="",0,K463-L463)</f>
        <v>0</v>
      </c>
      <c r="N463" s="49" t="str">
        <f aca="false">IFERROR(IF(G463="","",M463/G463),"")</f>
        <v/>
      </c>
      <c r="S463" s="49" t="n">
        <f aca="false">IFERROR(VLOOKUP(H463,Settings!B14:C25,2,FALSE()),0)</f>
        <v>0</v>
      </c>
    </row>
    <row r="464" customFormat="false" ht="15" hidden="false" customHeight="false" outlineLevel="0" collapsed="false">
      <c r="A464" s="37" t="str">
        <f aca="false">IF(B464="","",ROW()-3)</f>
        <v/>
      </c>
      <c r="B464" s="38"/>
      <c r="C464" s="39"/>
      <c r="D464" s="39"/>
      <c r="E464" s="39"/>
      <c r="F464" s="39"/>
      <c r="G464" s="40"/>
      <c r="H464" s="39"/>
      <c r="I464" s="40" t="n">
        <f aca="false">IF(G464="",0,G464*S464)</f>
        <v>0</v>
      </c>
      <c r="J464" s="40"/>
      <c r="K464" s="40" t="n">
        <f aca="false">IF(G464="",0,G464-I464-IF(J464="",0,J464))</f>
        <v>0</v>
      </c>
      <c r="L464" s="40" t="n">
        <f aca="false">IF(O464="",0,IFERROR(INDEX(Purchases!I:I,MATCH(O464*1,Purchases!A:A,0)),0))</f>
        <v>0</v>
      </c>
      <c r="M464" s="40" t="n">
        <f aca="false">IF(G464="",0,K464-L464)</f>
        <v>0</v>
      </c>
      <c r="N464" s="48" t="str">
        <f aca="false">IFERROR(IF(G464="","",M464/G464),"")</f>
        <v/>
      </c>
      <c r="O464" s="39"/>
      <c r="P464" s="39"/>
      <c r="Q464" s="39"/>
      <c r="R464" s="39"/>
      <c r="S464" s="48" t="n">
        <f aca="false">IFERROR(VLOOKUP(H464,Settings!B14:C25,2,FALSE()),0)</f>
        <v>0</v>
      </c>
    </row>
    <row r="465" customFormat="false" ht="15" hidden="false" customHeight="false" outlineLevel="0" collapsed="false">
      <c r="A465" s="41" t="str">
        <f aca="false">IF(B465="","",ROW()-3)</f>
        <v/>
      </c>
      <c r="B465" s="42"/>
      <c r="G465" s="44"/>
      <c r="I465" s="44" t="n">
        <f aca="false">IF(G465="",0,G465*S465)</f>
        <v>0</v>
      </c>
      <c r="J465" s="44"/>
      <c r="K465" s="44" t="n">
        <f aca="false">IF(G465="",0,G465-I465-IF(J465="",0,J465))</f>
        <v>0</v>
      </c>
      <c r="L465" s="44" t="n">
        <f aca="false">IF(O465="",0,IFERROR(INDEX(Purchases!I:I,MATCH(O465*1,Purchases!A:A,0)),0))</f>
        <v>0</v>
      </c>
      <c r="M465" s="44" t="n">
        <f aca="false">IF(G465="",0,K465-L465)</f>
        <v>0</v>
      </c>
      <c r="N465" s="49" t="str">
        <f aca="false">IFERROR(IF(G465="","",M465/G465),"")</f>
        <v/>
      </c>
      <c r="S465" s="49" t="n">
        <f aca="false">IFERROR(VLOOKUP(H465,Settings!B14:C25,2,FALSE()),0)</f>
        <v>0</v>
      </c>
    </row>
    <row r="466" customFormat="false" ht="15" hidden="false" customHeight="false" outlineLevel="0" collapsed="false">
      <c r="A466" s="37" t="str">
        <f aca="false">IF(B466="","",ROW()-3)</f>
        <v/>
      </c>
      <c r="B466" s="38"/>
      <c r="C466" s="39"/>
      <c r="D466" s="39"/>
      <c r="E466" s="39"/>
      <c r="F466" s="39"/>
      <c r="G466" s="40"/>
      <c r="H466" s="39"/>
      <c r="I466" s="40" t="n">
        <f aca="false">IF(G466="",0,G466*S466)</f>
        <v>0</v>
      </c>
      <c r="J466" s="40"/>
      <c r="K466" s="40" t="n">
        <f aca="false">IF(G466="",0,G466-I466-IF(J466="",0,J466))</f>
        <v>0</v>
      </c>
      <c r="L466" s="40" t="n">
        <f aca="false">IF(O466="",0,IFERROR(INDEX(Purchases!I:I,MATCH(O466*1,Purchases!A:A,0)),0))</f>
        <v>0</v>
      </c>
      <c r="M466" s="40" t="n">
        <f aca="false">IF(G466="",0,K466-L466)</f>
        <v>0</v>
      </c>
      <c r="N466" s="48" t="str">
        <f aca="false">IFERROR(IF(G466="","",M466/G466),"")</f>
        <v/>
      </c>
      <c r="O466" s="39"/>
      <c r="P466" s="39"/>
      <c r="Q466" s="39"/>
      <c r="R466" s="39"/>
      <c r="S466" s="48" t="n">
        <f aca="false">IFERROR(VLOOKUP(H466,Settings!B14:C25,2,FALSE()),0)</f>
        <v>0</v>
      </c>
    </row>
    <row r="467" customFormat="false" ht="15" hidden="false" customHeight="false" outlineLevel="0" collapsed="false">
      <c r="A467" s="41" t="str">
        <f aca="false">IF(B467="","",ROW()-3)</f>
        <v/>
      </c>
      <c r="B467" s="42"/>
      <c r="G467" s="44"/>
      <c r="I467" s="44" t="n">
        <f aca="false">IF(G467="",0,G467*S467)</f>
        <v>0</v>
      </c>
      <c r="J467" s="44"/>
      <c r="K467" s="44" t="n">
        <f aca="false">IF(G467="",0,G467-I467-IF(J467="",0,J467))</f>
        <v>0</v>
      </c>
      <c r="L467" s="44" t="n">
        <f aca="false">IF(O467="",0,IFERROR(INDEX(Purchases!I:I,MATCH(O467*1,Purchases!A:A,0)),0))</f>
        <v>0</v>
      </c>
      <c r="M467" s="44" t="n">
        <f aca="false">IF(G467="",0,K467-L467)</f>
        <v>0</v>
      </c>
      <c r="N467" s="49" t="str">
        <f aca="false">IFERROR(IF(G467="","",M467/G467),"")</f>
        <v/>
      </c>
      <c r="S467" s="49" t="n">
        <f aca="false">IFERROR(VLOOKUP(H467,Settings!B14:C25,2,FALSE()),0)</f>
        <v>0</v>
      </c>
    </row>
    <row r="468" customFormat="false" ht="15" hidden="false" customHeight="false" outlineLevel="0" collapsed="false">
      <c r="A468" s="37" t="str">
        <f aca="false">IF(B468="","",ROW()-3)</f>
        <v/>
      </c>
      <c r="B468" s="38"/>
      <c r="C468" s="39"/>
      <c r="D468" s="39"/>
      <c r="E468" s="39"/>
      <c r="F468" s="39"/>
      <c r="G468" s="40"/>
      <c r="H468" s="39"/>
      <c r="I468" s="40" t="n">
        <f aca="false">IF(G468="",0,G468*S468)</f>
        <v>0</v>
      </c>
      <c r="J468" s="40"/>
      <c r="K468" s="40" t="n">
        <f aca="false">IF(G468="",0,G468-I468-IF(J468="",0,J468))</f>
        <v>0</v>
      </c>
      <c r="L468" s="40" t="n">
        <f aca="false">IF(O468="",0,IFERROR(INDEX(Purchases!I:I,MATCH(O468*1,Purchases!A:A,0)),0))</f>
        <v>0</v>
      </c>
      <c r="M468" s="40" t="n">
        <f aca="false">IF(G468="",0,K468-L468)</f>
        <v>0</v>
      </c>
      <c r="N468" s="48" t="str">
        <f aca="false">IFERROR(IF(G468="","",M468/G468),"")</f>
        <v/>
      </c>
      <c r="O468" s="39"/>
      <c r="P468" s="39"/>
      <c r="Q468" s="39"/>
      <c r="R468" s="39"/>
      <c r="S468" s="48" t="n">
        <f aca="false">IFERROR(VLOOKUP(H468,Settings!B14:C25,2,FALSE()),0)</f>
        <v>0</v>
      </c>
    </row>
    <row r="469" customFormat="false" ht="15" hidden="false" customHeight="false" outlineLevel="0" collapsed="false">
      <c r="A469" s="41" t="str">
        <f aca="false">IF(B469="","",ROW()-3)</f>
        <v/>
      </c>
      <c r="B469" s="42"/>
      <c r="G469" s="44"/>
      <c r="I469" s="44" t="n">
        <f aca="false">IF(G469="",0,G469*S469)</f>
        <v>0</v>
      </c>
      <c r="J469" s="44"/>
      <c r="K469" s="44" t="n">
        <f aca="false">IF(G469="",0,G469-I469-IF(J469="",0,J469))</f>
        <v>0</v>
      </c>
      <c r="L469" s="44" t="n">
        <f aca="false">IF(O469="",0,IFERROR(INDEX(Purchases!I:I,MATCH(O469*1,Purchases!A:A,0)),0))</f>
        <v>0</v>
      </c>
      <c r="M469" s="44" t="n">
        <f aca="false">IF(G469="",0,K469-L469)</f>
        <v>0</v>
      </c>
      <c r="N469" s="49" t="str">
        <f aca="false">IFERROR(IF(G469="","",M469/G469),"")</f>
        <v/>
      </c>
      <c r="S469" s="49" t="n">
        <f aca="false">IFERROR(VLOOKUP(H469,Settings!B14:C25,2,FALSE()),0)</f>
        <v>0</v>
      </c>
    </row>
    <row r="470" customFormat="false" ht="15" hidden="false" customHeight="false" outlineLevel="0" collapsed="false">
      <c r="A470" s="37" t="str">
        <f aca="false">IF(B470="","",ROW()-3)</f>
        <v/>
      </c>
      <c r="B470" s="38"/>
      <c r="C470" s="39"/>
      <c r="D470" s="39"/>
      <c r="E470" s="39"/>
      <c r="F470" s="39"/>
      <c r="G470" s="40"/>
      <c r="H470" s="39"/>
      <c r="I470" s="40" t="n">
        <f aca="false">IF(G470="",0,G470*S470)</f>
        <v>0</v>
      </c>
      <c r="J470" s="40"/>
      <c r="K470" s="40" t="n">
        <f aca="false">IF(G470="",0,G470-I470-IF(J470="",0,J470))</f>
        <v>0</v>
      </c>
      <c r="L470" s="40" t="n">
        <f aca="false">IF(O470="",0,IFERROR(INDEX(Purchases!I:I,MATCH(O470*1,Purchases!A:A,0)),0))</f>
        <v>0</v>
      </c>
      <c r="M470" s="40" t="n">
        <f aca="false">IF(G470="",0,K470-L470)</f>
        <v>0</v>
      </c>
      <c r="N470" s="48" t="str">
        <f aca="false">IFERROR(IF(G470="","",M470/G470),"")</f>
        <v/>
      </c>
      <c r="O470" s="39"/>
      <c r="P470" s="39"/>
      <c r="Q470" s="39"/>
      <c r="R470" s="39"/>
      <c r="S470" s="48" t="n">
        <f aca="false">IFERROR(VLOOKUP(H470,Settings!B14:C25,2,FALSE()),0)</f>
        <v>0</v>
      </c>
    </row>
    <row r="471" customFormat="false" ht="15" hidden="false" customHeight="false" outlineLevel="0" collapsed="false">
      <c r="A471" s="41" t="str">
        <f aca="false">IF(B471="","",ROW()-3)</f>
        <v/>
      </c>
      <c r="B471" s="42"/>
      <c r="G471" s="44"/>
      <c r="I471" s="44" t="n">
        <f aca="false">IF(G471="",0,G471*S471)</f>
        <v>0</v>
      </c>
      <c r="J471" s="44"/>
      <c r="K471" s="44" t="n">
        <f aca="false">IF(G471="",0,G471-I471-IF(J471="",0,J471))</f>
        <v>0</v>
      </c>
      <c r="L471" s="44" t="n">
        <f aca="false">IF(O471="",0,IFERROR(INDEX(Purchases!I:I,MATCH(O471*1,Purchases!A:A,0)),0))</f>
        <v>0</v>
      </c>
      <c r="M471" s="44" t="n">
        <f aca="false">IF(G471="",0,K471-L471)</f>
        <v>0</v>
      </c>
      <c r="N471" s="49" t="str">
        <f aca="false">IFERROR(IF(G471="","",M471/G471),"")</f>
        <v/>
      </c>
      <c r="S471" s="49" t="n">
        <f aca="false">IFERROR(VLOOKUP(H471,Settings!B14:C25,2,FALSE()),0)</f>
        <v>0</v>
      </c>
    </row>
    <row r="472" customFormat="false" ht="15" hidden="false" customHeight="false" outlineLevel="0" collapsed="false">
      <c r="A472" s="37" t="str">
        <f aca="false">IF(B472="","",ROW()-3)</f>
        <v/>
      </c>
      <c r="B472" s="38"/>
      <c r="C472" s="39"/>
      <c r="D472" s="39"/>
      <c r="E472" s="39"/>
      <c r="F472" s="39"/>
      <c r="G472" s="40"/>
      <c r="H472" s="39"/>
      <c r="I472" s="40" t="n">
        <f aca="false">IF(G472="",0,G472*S472)</f>
        <v>0</v>
      </c>
      <c r="J472" s="40"/>
      <c r="K472" s="40" t="n">
        <f aca="false">IF(G472="",0,G472-I472-IF(J472="",0,J472))</f>
        <v>0</v>
      </c>
      <c r="L472" s="40" t="n">
        <f aca="false">IF(O472="",0,IFERROR(INDEX(Purchases!I:I,MATCH(O472*1,Purchases!A:A,0)),0))</f>
        <v>0</v>
      </c>
      <c r="M472" s="40" t="n">
        <f aca="false">IF(G472="",0,K472-L472)</f>
        <v>0</v>
      </c>
      <c r="N472" s="48" t="str">
        <f aca="false">IFERROR(IF(G472="","",M472/G472),"")</f>
        <v/>
      </c>
      <c r="O472" s="39"/>
      <c r="P472" s="39"/>
      <c r="Q472" s="39"/>
      <c r="R472" s="39"/>
      <c r="S472" s="48" t="n">
        <f aca="false">IFERROR(VLOOKUP(H472,Settings!B14:C25,2,FALSE()),0)</f>
        <v>0</v>
      </c>
    </row>
    <row r="473" customFormat="false" ht="15" hidden="false" customHeight="false" outlineLevel="0" collapsed="false">
      <c r="A473" s="41" t="str">
        <f aca="false">IF(B473="","",ROW()-3)</f>
        <v/>
      </c>
      <c r="B473" s="42"/>
      <c r="G473" s="44"/>
      <c r="I473" s="44" t="n">
        <f aca="false">IF(G473="",0,G473*S473)</f>
        <v>0</v>
      </c>
      <c r="J473" s="44"/>
      <c r="K473" s="44" t="n">
        <f aca="false">IF(G473="",0,G473-I473-IF(J473="",0,J473))</f>
        <v>0</v>
      </c>
      <c r="L473" s="44" t="n">
        <f aca="false">IF(O473="",0,IFERROR(INDEX(Purchases!I:I,MATCH(O473*1,Purchases!A:A,0)),0))</f>
        <v>0</v>
      </c>
      <c r="M473" s="44" t="n">
        <f aca="false">IF(G473="",0,K473-L473)</f>
        <v>0</v>
      </c>
      <c r="N473" s="49" t="str">
        <f aca="false">IFERROR(IF(G473="","",M473/G473),"")</f>
        <v/>
      </c>
      <c r="S473" s="49" t="n">
        <f aca="false">IFERROR(VLOOKUP(H473,Settings!B14:C25,2,FALSE()),0)</f>
        <v>0</v>
      </c>
    </row>
    <row r="474" customFormat="false" ht="15" hidden="false" customHeight="false" outlineLevel="0" collapsed="false">
      <c r="A474" s="37" t="str">
        <f aca="false">IF(B474="","",ROW()-3)</f>
        <v/>
      </c>
      <c r="B474" s="38"/>
      <c r="C474" s="39"/>
      <c r="D474" s="39"/>
      <c r="E474" s="39"/>
      <c r="F474" s="39"/>
      <c r="G474" s="40"/>
      <c r="H474" s="39"/>
      <c r="I474" s="40" t="n">
        <f aca="false">IF(G474="",0,G474*S474)</f>
        <v>0</v>
      </c>
      <c r="J474" s="40"/>
      <c r="K474" s="40" t="n">
        <f aca="false">IF(G474="",0,G474-I474-IF(J474="",0,J474))</f>
        <v>0</v>
      </c>
      <c r="L474" s="40" t="n">
        <f aca="false">IF(O474="",0,IFERROR(INDEX(Purchases!I:I,MATCH(O474*1,Purchases!A:A,0)),0))</f>
        <v>0</v>
      </c>
      <c r="M474" s="40" t="n">
        <f aca="false">IF(G474="",0,K474-L474)</f>
        <v>0</v>
      </c>
      <c r="N474" s="48" t="str">
        <f aca="false">IFERROR(IF(G474="","",M474/G474),"")</f>
        <v/>
      </c>
      <c r="O474" s="39"/>
      <c r="P474" s="39"/>
      <c r="Q474" s="39"/>
      <c r="R474" s="39"/>
      <c r="S474" s="48" t="n">
        <f aca="false">IFERROR(VLOOKUP(H474,Settings!B14:C25,2,FALSE()),0)</f>
        <v>0</v>
      </c>
    </row>
    <row r="475" customFormat="false" ht="15" hidden="false" customHeight="false" outlineLevel="0" collapsed="false">
      <c r="A475" s="41" t="str">
        <f aca="false">IF(B475="","",ROW()-3)</f>
        <v/>
      </c>
      <c r="B475" s="42"/>
      <c r="G475" s="44"/>
      <c r="I475" s="44" t="n">
        <f aca="false">IF(G475="",0,G475*S475)</f>
        <v>0</v>
      </c>
      <c r="J475" s="44"/>
      <c r="K475" s="44" t="n">
        <f aca="false">IF(G475="",0,G475-I475-IF(J475="",0,J475))</f>
        <v>0</v>
      </c>
      <c r="L475" s="44" t="n">
        <f aca="false">IF(O475="",0,IFERROR(INDEX(Purchases!I:I,MATCH(O475*1,Purchases!A:A,0)),0))</f>
        <v>0</v>
      </c>
      <c r="M475" s="44" t="n">
        <f aca="false">IF(G475="",0,K475-L475)</f>
        <v>0</v>
      </c>
      <c r="N475" s="49" t="str">
        <f aca="false">IFERROR(IF(G475="","",M475/G475),"")</f>
        <v/>
      </c>
      <c r="S475" s="49" t="n">
        <f aca="false">IFERROR(VLOOKUP(H475,Settings!B14:C25,2,FALSE()),0)</f>
        <v>0</v>
      </c>
    </row>
    <row r="476" customFormat="false" ht="15" hidden="false" customHeight="false" outlineLevel="0" collapsed="false">
      <c r="A476" s="37" t="str">
        <f aca="false">IF(B476="","",ROW()-3)</f>
        <v/>
      </c>
      <c r="B476" s="38"/>
      <c r="C476" s="39"/>
      <c r="D476" s="39"/>
      <c r="E476" s="39"/>
      <c r="F476" s="39"/>
      <c r="G476" s="40"/>
      <c r="H476" s="39"/>
      <c r="I476" s="40" t="n">
        <f aca="false">IF(G476="",0,G476*S476)</f>
        <v>0</v>
      </c>
      <c r="J476" s="40"/>
      <c r="K476" s="40" t="n">
        <f aca="false">IF(G476="",0,G476-I476-IF(J476="",0,J476))</f>
        <v>0</v>
      </c>
      <c r="L476" s="40" t="n">
        <f aca="false">IF(O476="",0,IFERROR(INDEX(Purchases!I:I,MATCH(O476*1,Purchases!A:A,0)),0))</f>
        <v>0</v>
      </c>
      <c r="M476" s="40" t="n">
        <f aca="false">IF(G476="",0,K476-L476)</f>
        <v>0</v>
      </c>
      <c r="N476" s="48" t="str">
        <f aca="false">IFERROR(IF(G476="","",M476/G476),"")</f>
        <v/>
      </c>
      <c r="O476" s="39"/>
      <c r="P476" s="39"/>
      <c r="Q476" s="39"/>
      <c r="R476" s="39"/>
      <c r="S476" s="48" t="n">
        <f aca="false">IFERROR(VLOOKUP(H476,Settings!B14:C25,2,FALSE()),0)</f>
        <v>0</v>
      </c>
    </row>
    <row r="477" customFormat="false" ht="15" hidden="false" customHeight="false" outlineLevel="0" collapsed="false">
      <c r="A477" s="41" t="str">
        <f aca="false">IF(B477="","",ROW()-3)</f>
        <v/>
      </c>
      <c r="B477" s="42"/>
      <c r="G477" s="44"/>
      <c r="I477" s="44" t="n">
        <f aca="false">IF(G477="",0,G477*S477)</f>
        <v>0</v>
      </c>
      <c r="J477" s="44"/>
      <c r="K477" s="44" t="n">
        <f aca="false">IF(G477="",0,G477-I477-IF(J477="",0,J477))</f>
        <v>0</v>
      </c>
      <c r="L477" s="44" t="n">
        <f aca="false">IF(O477="",0,IFERROR(INDEX(Purchases!I:I,MATCH(O477*1,Purchases!A:A,0)),0))</f>
        <v>0</v>
      </c>
      <c r="M477" s="44" t="n">
        <f aca="false">IF(G477="",0,K477-L477)</f>
        <v>0</v>
      </c>
      <c r="N477" s="49" t="str">
        <f aca="false">IFERROR(IF(G477="","",M477/G477),"")</f>
        <v/>
      </c>
      <c r="S477" s="49" t="n">
        <f aca="false">IFERROR(VLOOKUP(H477,Settings!B14:C25,2,FALSE()),0)</f>
        <v>0</v>
      </c>
    </row>
    <row r="478" customFormat="false" ht="15" hidden="false" customHeight="false" outlineLevel="0" collapsed="false">
      <c r="A478" s="37" t="str">
        <f aca="false">IF(B478="","",ROW()-3)</f>
        <v/>
      </c>
      <c r="B478" s="38"/>
      <c r="C478" s="39"/>
      <c r="D478" s="39"/>
      <c r="E478" s="39"/>
      <c r="F478" s="39"/>
      <c r="G478" s="40"/>
      <c r="H478" s="39"/>
      <c r="I478" s="40" t="n">
        <f aca="false">IF(G478="",0,G478*S478)</f>
        <v>0</v>
      </c>
      <c r="J478" s="40"/>
      <c r="K478" s="40" t="n">
        <f aca="false">IF(G478="",0,G478-I478-IF(J478="",0,J478))</f>
        <v>0</v>
      </c>
      <c r="L478" s="40" t="n">
        <f aca="false">IF(O478="",0,IFERROR(INDEX(Purchases!I:I,MATCH(O478*1,Purchases!A:A,0)),0))</f>
        <v>0</v>
      </c>
      <c r="M478" s="40" t="n">
        <f aca="false">IF(G478="",0,K478-L478)</f>
        <v>0</v>
      </c>
      <c r="N478" s="48" t="str">
        <f aca="false">IFERROR(IF(G478="","",M478/G478),"")</f>
        <v/>
      </c>
      <c r="O478" s="39"/>
      <c r="P478" s="39"/>
      <c r="Q478" s="39"/>
      <c r="R478" s="39"/>
      <c r="S478" s="48" t="n">
        <f aca="false">IFERROR(VLOOKUP(H478,Settings!B14:C25,2,FALSE()),0)</f>
        <v>0</v>
      </c>
    </row>
    <row r="479" customFormat="false" ht="15" hidden="false" customHeight="false" outlineLevel="0" collapsed="false">
      <c r="A479" s="41" t="str">
        <f aca="false">IF(B479="","",ROW()-3)</f>
        <v/>
      </c>
      <c r="B479" s="42"/>
      <c r="G479" s="44"/>
      <c r="I479" s="44" t="n">
        <f aca="false">IF(G479="",0,G479*S479)</f>
        <v>0</v>
      </c>
      <c r="J479" s="44"/>
      <c r="K479" s="44" t="n">
        <f aca="false">IF(G479="",0,G479-I479-IF(J479="",0,J479))</f>
        <v>0</v>
      </c>
      <c r="L479" s="44" t="n">
        <f aca="false">IF(O479="",0,IFERROR(INDEX(Purchases!I:I,MATCH(O479*1,Purchases!A:A,0)),0))</f>
        <v>0</v>
      </c>
      <c r="M479" s="44" t="n">
        <f aca="false">IF(G479="",0,K479-L479)</f>
        <v>0</v>
      </c>
      <c r="N479" s="49" t="str">
        <f aca="false">IFERROR(IF(G479="","",M479/G479),"")</f>
        <v/>
      </c>
      <c r="S479" s="49" t="n">
        <f aca="false">IFERROR(VLOOKUP(H479,Settings!B14:C25,2,FALSE()),0)</f>
        <v>0</v>
      </c>
    </row>
    <row r="480" customFormat="false" ht="15" hidden="false" customHeight="false" outlineLevel="0" collapsed="false">
      <c r="A480" s="37" t="str">
        <f aca="false">IF(B480="","",ROW()-3)</f>
        <v/>
      </c>
      <c r="B480" s="38"/>
      <c r="C480" s="39"/>
      <c r="D480" s="39"/>
      <c r="E480" s="39"/>
      <c r="F480" s="39"/>
      <c r="G480" s="40"/>
      <c r="H480" s="39"/>
      <c r="I480" s="40" t="n">
        <f aca="false">IF(G480="",0,G480*S480)</f>
        <v>0</v>
      </c>
      <c r="J480" s="40"/>
      <c r="K480" s="40" t="n">
        <f aca="false">IF(G480="",0,G480-I480-IF(J480="",0,J480))</f>
        <v>0</v>
      </c>
      <c r="L480" s="40" t="n">
        <f aca="false">IF(O480="",0,IFERROR(INDEX(Purchases!I:I,MATCH(O480*1,Purchases!A:A,0)),0))</f>
        <v>0</v>
      </c>
      <c r="M480" s="40" t="n">
        <f aca="false">IF(G480="",0,K480-L480)</f>
        <v>0</v>
      </c>
      <c r="N480" s="48" t="str">
        <f aca="false">IFERROR(IF(G480="","",M480/G480),"")</f>
        <v/>
      </c>
      <c r="O480" s="39"/>
      <c r="P480" s="39"/>
      <c r="Q480" s="39"/>
      <c r="R480" s="39"/>
      <c r="S480" s="48" t="n">
        <f aca="false">IFERROR(VLOOKUP(H480,Settings!B14:C25,2,FALSE()),0)</f>
        <v>0</v>
      </c>
    </row>
    <row r="481" customFormat="false" ht="15" hidden="false" customHeight="false" outlineLevel="0" collapsed="false">
      <c r="A481" s="41" t="str">
        <f aca="false">IF(B481="","",ROW()-3)</f>
        <v/>
      </c>
      <c r="B481" s="42"/>
      <c r="G481" s="44"/>
      <c r="I481" s="44" t="n">
        <f aca="false">IF(G481="",0,G481*S481)</f>
        <v>0</v>
      </c>
      <c r="J481" s="44"/>
      <c r="K481" s="44" t="n">
        <f aca="false">IF(G481="",0,G481-I481-IF(J481="",0,J481))</f>
        <v>0</v>
      </c>
      <c r="L481" s="44" t="n">
        <f aca="false">IF(O481="",0,IFERROR(INDEX(Purchases!I:I,MATCH(O481*1,Purchases!A:A,0)),0))</f>
        <v>0</v>
      </c>
      <c r="M481" s="44" t="n">
        <f aca="false">IF(G481="",0,K481-L481)</f>
        <v>0</v>
      </c>
      <c r="N481" s="49" t="str">
        <f aca="false">IFERROR(IF(G481="","",M481/G481),"")</f>
        <v/>
      </c>
      <c r="S481" s="49" t="n">
        <f aca="false">IFERROR(VLOOKUP(H481,Settings!B14:C25,2,FALSE()),0)</f>
        <v>0</v>
      </c>
    </row>
    <row r="482" customFormat="false" ht="15" hidden="false" customHeight="false" outlineLevel="0" collapsed="false">
      <c r="A482" s="37" t="str">
        <f aca="false">IF(B482="","",ROW()-3)</f>
        <v/>
      </c>
      <c r="B482" s="38"/>
      <c r="C482" s="39"/>
      <c r="D482" s="39"/>
      <c r="E482" s="39"/>
      <c r="F482" s="39"/>
      <c r="G482" s="40"/>
      <c r="H482" s="39"/>
      <c r="I482" s="40" t="n">
        <f aca="false">IF(G482="",0,G482*S482)</f>
        <v>0</v>
      </c>
      <c r="J482" s="40"/>
      <c r="K482" s="40" t="n">
        <f aca="false">IF(G482="",0,G482-I482-IF(J482="",0,J482))</f>
        <v>0</v>
      </c>
      <c r="L482" s="40" t="n">
        <f aca="false">IF(O482="",0,IFERROR(INDEX(Purchases!I:I,MATCH(O482*1,Purchases!A:A,0)),0))</f>
        <v>0</v>
      </c>
      <c r="M482" s="40" t="n">
        <f aca="false">IF(G482="",0,K482-L482)</f>
        <v>0</v>
      </c>
      <c r="N482" s="48" t="str">
        <f aca="false">IFERROR(IF(G482="","",M482/G482),"")</f>
        <v/>
      </c>
      <c r="O482" s="39"/>
      <c r="P482" s="39"/>
      <c r="Q482" s="39"/>
      <c r="R482" s="39"/>
      <c r="S482" s="48" t="n">
        <f aca="false">IFERROR(VLOOKUP(H482,Settings!B14:C25,2,FALSE()),0)</f>
        <v>0</v>
      </c>
    </row>
    <row r="483" customFormat="false" ht="15" hidden="false" customHeight="false" outlineLevel="0" collapsed="false">
      <c r="A483" s="41" t="str">
        <f aca="false">IF(B483="","",ROW()-3)</f>
        <v/>
      </c>
      <c r="B483" s="42"/>
      <c r="G483" s="44"/>
      <c r="I483" s="44" t="n">
        <f aca="false">IF(G483="",0,G483*S483)</f>
        <v>0</v>
      </c>
      <c r="J483" s="44"/>
      <c r="K483" s="44" t="n">
        <f aca="false">IF(G483="",0,G483-I483-IF(J483="",0,J483))</f>
        <v>0</v>
      </c>
      <c r="L483" s="44" t="n">
        <f aca="false">IF(O483="",0,IFERROR(INDEX(Purchases!I:I,MATCH(O483*1,Purchases!A:A,0)),0))</f>
        <v>0</v>
      </c>
      <c r="M483" s="44" t="n">
        <f aca="false">IF(G483="",0,K483-L483)</f>
        <v>0</v>
      </c>
      <c r="N483" s="49" t="str">
        <f aca="false">IFERROR(IF(G483="","",M483/G483),"")</f>
        <v/>
      </c>
      <c r="S483" s="49" t="n">
        <f aca="false">IFERROR(VLOOKUP(H483,Settings!B14:C25,2,FALSE()),0)</f>
        <v>0</v>
      </c>
    </row>
    <row r="484" customFormat="false" ht="15" hidden="false" customHeight="false" outlineLevel="0" collapsed="false">
      <c r="A484" s="37" t="str">
        <f aca="false">IF(B484="","",ROW()-3)</f>
        <v/>
      </c>
      <c r="B484" s="38"/>
      <c r="C484" s="39"/>
      <c r="D484" s="39"/>
      <c r="E484" s="39"/>
      <c r="F484" s="39"/>
      <c r="G484" s="40"/>
      <c r="H484" s="39"/>
      <c r="I484" s="40" t="n">
        <f aca="false">IF(G484="",0,G484*S484)</f>
        <v>0</v>
      </c>
      <c r="J484" s="40"/>
      <c r="K484" s="40" t="n">
        <f aca="false">IF(G484="",0,G484-I484-IF(J484="",0,J484))</f>
        <v>0</v>
      </c>
      <c r="L484" s="40" t="n">
        <f aca="false">IF(O484="",0,IFERROR(INDEX(Purchases!I:I,MATCH(O484*1,Purchases!A:A,0)),0))</f>
        <v>0</v>
      </c>
      <c r="M484" s="40" t="n">
        <f aca="false">IF(G484="",0,K484-L484)</f>
        <v>0</v>
      </c>
      <c r="N484" s="48" t="str">
        <f aca="false">IFERROR(IF(G484="","",M484/G484),"")</f>
        <v/>
      </c>
      <c r="O484" s="39"/>
      <c r="P484" s="39"/>
      <c r="Q484" s="39"/>
      <c r="R484" s="39"/>
      <c r="S484" s="48" t="n">
        <f aca="false">IFERROR(VLOOKUP(H484,Settings!B14:C25,2,FALSE()),0)</f>
        <v>0</v>
      </c>
    </row>
    <row r="485" customFormat="false" ht="15" hidden="false" customHeight="false" outlineLevel="0" collapsed="false">
      <c r="A485" s="41" t="str">
        <f aca="false">IF(B485="","",ROW()-3)</f>
        <v/>
      </c>
      <c r="B485" s="42"/>
      <c r="G485" s="44"/>
      <c r="I485" s="44" t="n">
        <f aca="false">IF(G485="",0,G485*S485)</f>
        <v>0</v>
      </c>
      <c r="J485" s="44"/>
      <c r="K485" s="44" t="n">
        <f aca="false">IF(G485="",0,G485-I485-IF(J485="",0,J485))</f>
        <v>0</v>
      </c>
      <c r="L485" s="44" t="n">
        <f aca="false">IF(O485="",0,IFERROR(INDEX(Purchases!I:I,MATCH(O485*1,Purchases!A:A,0)),0))</f>
        <v>0</v>
      </c>
      <c r="M485" s="44" t="n">
        <f aca="false">IF(G485="",0,K485-L485)</f>
        <v>0</v>
      </c>
      <c r="N485" s="49" t="str">
        <f aca="false">IFERROR(IF(G485="","",M485/G485),"")</f>
        <v/>
      </c>
      <c r="S485" s="49" t="n">
        <f aca="false">IFERROR(VLOOKUP(H485,Settings!B14:C25,2,FALSE()),0)</f>
        <v>0</v>
      </c>
    </row>
    <row r="486" customFormat="false" ht="15" hidden="false" customHeight="false" outlineLevel="0" collapsed="false">
      <c r="A486" s="37" t="str">
        <f aca="false">IF(B486="","",ROW()-3)</f>
        <v/>
      </c>
      <c r="B486" s="38"/>
      <c r="C486" s="39"/>
      <c r="D486" s="39"/>
      <c r="E486" s="39"/>
      <c r="F486" s="39"/>
      <c r="G486" s="40"/>
      <c r="H486" s="39"/>
      <c r="I486" s="40" t="n">
        <f aca="false">IF(G486="",0,G486*S486)</f>
        <v>0</v>
      </c>
      <c r="J486" s="40"/>
      <c r="K486" s="40" t="n">
        <f aca="false">IF(G486="",0,G486-I486-IF(J486="",0,J486))</f>
        <v>0</v>
      </c>
      <c r="L486" s="40" t="n">
        <f aca="false">IF(O486="",0,IFERROR(INDEX(Purchases!I:I,MATCH(O486*1,Purchases!A:A,0)),0))</f>
        <v>0</v>
      </c>
      <c r="M486" s="40" t="n">
        <f aca="false">IF(G486="",0,K486-L486)</f>
        <v>0</v>
      </c>
      <c r="N486" s="48" t="str">
        <f aca="false">IFERROR(IF(G486="","",M486/G486),"")</f>
        <v/>
      </c>
      <c r="O486" s="39"/>
      <c r="P486" s="39"/>
      <c r="Q486" s="39"/>
      <c r="R486" s="39"/>
      <c r="S486" s="48" t="n">
        <f aca="false">IFERROR(VLOOKUP(H486,Settings!B14:C25,2,FALSE()),0)</f>
        <v>0</v>
      </c>
    </row>
    <row r="487" customFormat="false" ht="15" hidden="false" customHeight="false" outlineLevel="0" collapsed="false">
      <c r="A487" s="41" t="str">
        <f aca="false">IF(B487="","",ROW()-3)</f>
        <v/>
      </c>
      <c r="B487" s="42"/>
      <c r="G487" s="44"/>
      <c r="I487" s="44" t="n">
        <f aca="false">IF(G487="",0,G487*S487)</f>
        <v>0</v>
      </c>
      <c r="J487" s="44"/>
      <c r="K487" s="44" t="n">
        <f aca="false">IF(G487="",0,G487-I487-IF(J487="",0,J487))</f>
        <v>0</v>
      </c>
      <c r="L487" s="44" t="n">
        <f aca="false">IF(O487="",0,IFERROR(INDEX(Purchases!I:I,MATCH(O487*1,Purchases!A:A,0)),0))</f>
        <v>0</v>
      </c>
      <c r="M487" s="44" t="n">
        <f aca="false">IF(G487="",0,K487-L487)</f>
        <v>0</v>
      </c>
      <c r="N487" s="49" t="str">
        <f aca="false">IFERROR(IF(G487="","",M487/G487),"")</f>
        <v/>
      </c>
      <c r="S487" s="49" t="n">
        <f aca="false">IFERROR(VLOOKUP(H487,Settings!B14:C25,2,FALSE()),0)</f>
        <v>0</v>
      </c>
    </row>
    <row r="488" customFormat="false" ht="15" hidden="false" customHeight="false" outlineLevel="0" collapsed="false">
      <c r="A488" s="37" t="str">
        <f aca="false">IF(B488="","",ROW()-3)</f>
        <v/>
      </c>
      <c r="B488" s="38"/>
      <c r="C488" s="39"/>
      <c r="D488" s="39"/>
      <c r="E488" s="39"/>
      <c r="F488" s="39"/>
      <c r="G488" s="40"/>
      <c r="H488" s="39"/>
      <c r="I488" s="40" t="n">
        <f aca="false">IF(G488="",0,G488*S488)</f>
        <v>0</v>
      </c>
      <c r="J488" s="40"/>
      <c r="K488" s="40" t="n">
        <f aca="false">IF(G488="",0,G488-I488-IF(J488="",0,J488))</f>
        <v>0</v>
      </c>
      <c r="L488" s="40" t="n">
        <f aca="false">IF(O488="",0,IFERROR(INDEX(Purchases!I:I,MATCH(O488*1,Purchases!A:A,0)),0))</f>
        <v>0</v>
      </c>
      <c r="M488" s="40" t="n">
        <f aca="false">IF(G488="",0,K488-L488)</f>
        <v>0</v>
      </c>
      <c r="N488" s="48" t="str">
        <f aca="false">IFERROR(IF(G488="","",M488/G488),"")</f>
        <v/>
      </c>
      <c r="O488" s="39"/>
      <c r="P488" s="39"/>
      <c r="Q488" s="39"/>
      <c r="R488" s="39"/>
      <c r="S488" s="48" t="n">
        <f aca="false">IFERROR(VLOOKUP(H488,Settings!B14:C25,2,FALSE()),0)</f>
        <v>0</v>
      </c>
    </row>
    <row r="489" customFormat="false" ht="15" hidden="false" customHeight="false" outlineLevel="0" collapsed="false">
      <c r="A489" s="41" t="str">
        <f aca="false">IF(B489="","",ROW()-3)</f>
        <v/>
      </c>
      <c r="B489" s="42"/>
      <c r="G489" s="44"/>
      <c r="I489" s="44" t="n">
        <f aca="false">IF(G489="",0,G489*S489)</f>
        <v>0</v>
      </c>
      <c r="J489" s="44"/>
      <c r="K489" s="44" t="n">
        <f aca="false">IF(G489="",0,G489-I489-IF(J489="",0,J489))</f>
        <v>0</v>
      </c>
      <c r="L489" s="44" t="n">
        <f aca="false">IF(O489="",0,IFERROR(INDEX(Purchases!I:I,MATCH(O489*1,Purchases!A:A,0)),0))</f>
        <v>0</v>
      </c>
      <c r="M489" s="44" t="n">
        <f aca="false">IF(G489="",0,K489-L489)</f>
        <v>0</v>
      </c>
      <c r="N489" s="49" t="str">
        <f aca="false">IFERROR(IF(G489="","",M489/G489),"")</f>
        <v/>
      </c>
      <c r="S489" s="49" t="n">
        <f aca="false">IFERROR(VLOOKUP(H489,Settings!B14:C25,2,FALSE()),0)</f>
        <v>0</v>
      </c>
    </row>
    <row r="490" customFormat="false" ht="15" hidden="false" customHeight="false" outlineLevel="0" collapsed="false">
      <c r="A490" s="37" t="str">
        <f aca="false">IF(B490="","",ROW()-3)</f>
        <v/>
      </c>
      <c r="B490" s="38"/>
      <c r="C490" s="39"/>
      <c r="D490" s="39"/>
      <c r="E490" s="39"/>
      <c r="F490" s="39"/>
      <c r="G490" s="40"/>
      <c r="H490" s="39"/>
      <c r="I490" s="40" t="n">
        <f aca="false">IF(G490="",0,G490*S490)</f>
        <v>0</v>
      </c>
      <c r="J490" s="40"/>
      <c r="K490" s="40" t="n">
        <f aca="false">IF(G490="",0,G490-I490-IF(J490="",0,J490))</f>
        <v>0</v>
      </c>
      <c r="L490" s="40" t="n">
        <f aca="false">IF(O490="",0,IFERROR(INDEX(Purchases!I:I,MATCH(O490*1,Purchases!A:A,0)),0))</f>
        <v>0</v>
      </c>
      <c r="M490" s="40" t="n">
        <f aca="false">IF(G490="",0,K490-L490)</f>
        <v>0</v>
      </c>
      <c r="N490" s="48" t="str">
        <f aca="false">IFERROR(IF(G490="","",M490/G490),"")</f>
        <v/>
      </c>
      <c r="O490" s="39"/>
      <c r="P490" s="39"/>
      <c r="Q490" s="39"/>
      <c r="R490" s="39"/>
      <c r="S490" s="48" t="n">
        <f aca="false">IFERROR(VLOOKUP(H490,Settings!B14:C25,2,FALSE()),0)</f>
        <v>0</v>
      </c>
    </row>
    <row r="491" customFormat="false" ht="15" hidden="false" customHeight="false" outlineLevel="0" collapsed="false">
      <c r="A491" s="41" t="str">
        <f aca="false">IF(B491="","",ROW()-3)</f>
        <v/>
      </c>
      <c r="B491" s="42"/>
      <c r="G491" s="44"/>
      <c r="I491" s="44" t="n">
        <f aca="false">IF(G491="",0,G491*S491)</f>
        <v>0</v>
      </c>
      <c r="J491" s="44"/>
      <c r="K491" s="44" t="n">
        <f aca="false">IF(G491="",0,G491-I491-IF(J491="",0,J491))</f>
        <v>0</v>
      </c>
      <c r="L491" s="44" t="n">
        <f aca="false">IF(O491="",0,IFERROR(INDEX(Purchases!I:I,MATCH(O491*1,Purchases!A:A,0)),0))</f>
        <v>0</v>
      </c>
      <c r="M491" s="44" t="n">
        <f aca="false">IF(G491="",0,K491-L491)</f>
        <v>0</v>
      </c>
      <c r="N491" s="49" t="str">
        <f aca="false">IFERROR(IF(G491="","",M491/G491),"")</f>
        <v/>
      </c>
      <c r="S491" s="49" t="n">
        <f aca="false">IFERROR(VLOOKUP(H491,Settings!B14:C25,2,FALSE()),0)</f>
        <v>0</v>
      </c>
    </row>
    <row r="492" customFormat="false" ht="15" hidden="false" customHeight="false" outlineLevel="0" collapsed="false">
      <c r="A492" s="37" t="str">
        <f aca="false">IF(B492="","",ROW()-3)</f>
        <v/>
      </c>
      <c r="B492" s="38"/>
      <c r="C492" s="39"/>
      <c r="D492" s="39"/>
      <c r="E492" s="39"/>
      <c r="F492" s="39"/>
      <c r="G492" s="40"/>
      <c r="H492" s="39"/>
      <c r="I492" s="40" t="n">
        <f aca="false">IF(G492="",0,G492*S492)</f>
        <v>0</v>
      </c>
      <c r="J492" s="40"/>
      <c r="K492" s="40" t="n">
        <f aca="false">IF(G492="",0,G492-I492-IF(J492="",0,J492))</f>
        <v>0</v>
      </c>
      <c r="L492" s="40" t="n">
        <f aca="false">IF(O492="",0,IFERROR(INDEX(Purchases!I:I,MATCH(O492*1,Purchases!A:A,0)),0))</f>
        <v>0</v>
      </c>
      <c r="M492" s="40" t="n">
        <f aca="false">IF(G492="",0,K492-L492)</f>
        <v>0</v>
      </c>
      <c r="N492" s="48" t="str">
        <f aca="false">IFERROR(IF(G492="","",M492/G492),"")</f>
        <v/>
      </c>
      <c r="O492" s="39"/>
      <c r="P492" s="39"/>
      <c r="Q492" s="39"/>
      <c r="R492" s="39"/>
      <c r="S492" s="48" t="n">
        <f aca="false">IFERROR(VLOOKUP(H492,Settings!B14:C25,2,FALSE()),0)</f>
        <v>0</v>
      </c>
    </row>
    <row r="493" customFormat="false" ht="15" hidden="false" customHeight="false" outlineLevel="0" collapsed="false">
      <c r="A493" s="41" t="str">
        <f aca="false">IF(B493="","",ROW()-3)</f>
        <v/>
      </c>
      <c r="B493" s="42"/>
      <c r="G493" s="44"/>
      <c r="I493" s="44" t="n">
        <f aca="false">IF(G493="",0,G493*S493)</f>
        <v>0</v>
      </c>
      <c r="J493" s="44"/>
      <c r="K493" s="44" t="n">
        <f aca="false">IF(G493="",0,G493-I493-IF(J493="",0,J493))</f>
        <v>0</v>
      </c>
      <c r="L493" s="44" t="n">
        <f aca="false">IF(O493="",0,IFERROR(INDEX(Purchases!I:I,MATCH(O493*1,Purchases!A:A,0)),0))</f>
        <v>0</v>
      </c>
      <c r="M493" s="44" t="n">
        <f aca="false">IF(G493="",0,K493-L493)</f>
        <v>0</v>
      </c>
      <c r="N493" s="49" t="str">
        <f aca="false">IFERROR(IF(G493="","",M493/G493),"")</f>
        <v/>
      </c>
      <c r="S493" s="49" t="n">
        <f aca="false">IFERROR(VLOOKUP(H493,Settings!B14:C25,2,FALSE()),0)</f>
        <v>0</v>
      </c>
    </row>
    <row r="494" customFormat="false" ht="15" hidden="false" customHeight="false" outlineLevel="0" collapsed="false">
      <c r="A494" s="37" t="str">
        <f aca="false">IF(B494="","",ROW()-3)</f>
        <v/>
      </c>
      <c r="B494" s="38"/>
      <c r="C494" s="39"/>
      <c r="D494" s="39"/>
      <c r="E494" s="39"/>
      <c r="F494" s="39"/>
      <c r="G494" s="40"/>
      <c r="H494" s="39"/>
      <c r="I494" s="40" t="n">
        <f aca="false">IF(G494="",0,G494*S494)</f>
        <v>0</v>
      </c>
      <c r="J494" s="40"/>
      <c r="K494" s="40" t="n">
        <f aca="false">IF(G494="",0,G494-I494-IF(J494="",0,J494))</f>
        <v>0</v>
      </c>
      <c r="L494" s="40" t="n">
        <f aca="false">IF(O494="",0,IFERROR(INDEX(Purchases!I:I,MATCH(O494*1,Purchases!A:A,0)),0))</f>
        <v>0</v>
      </c>
      <c r="M494" s="40" t="n">
        <f aca="false">IF(G494="",0,K494-L494)</f>
        <v>0</v>
      </c>
      <c r="N494" s="48" t="str">
        <f aca="false">IFERROR(IF(G494="","",M494/G494),"")</f>
        <v/>
      </c>
      <c r="O494" s="39"/>
      <c r="P494" s="39"/>
      <c r="Q494" s="39"/>
      <c r="R494" s="39"/>
      <c r="S494" s="48" t="n">
        <f aca="false">IFERROR(VLOOKUP(H494,Settings!B14:C25,2,FALSE()),0)</f>
        <v>0</v>
      </c>
    </row>
    <row r="495" customFormat="false" ht="15" hidden="false" customHeight="false" outlineLevel="0" collapsed="false">
      <c r="A495" s="41" t="str">
        <f aca="false">IF(B495="","",ROW()-3)</f>
        <v/>
      </c>
      <c r="B495" s="42"/>
      <c r="G495" s="44"/>
      <c r="I495" s="44" t="n">
        <f aca="false">IF(G495="",0,G495*S495)</f>
        <v>0</v>
      </c>
      <c r="J495" s="44"/>
      <c r="K495" s="44" t="n">
        <f aca="false">IF(G495="",0,G495-I495-IF(J495="",0,J495))</f>
        <v>0</v>
      </c>
      <c r="L495" s="44" t="n">
        <f aca="false">IF(O495="",0,IFERROR(INDEX(Purchases!I:I,MATCH(O495*1,Purchases!A:A,0)),0))</f>
        <v>0</v>
      </c>
      <c r="M495" s="44" t="n">
        <f aca="false">IF(G495="",0,K495-L495)</f>
        <v>0</v>
      </c>
      <c r="N495" s="49" t="str">
        <f aca="false">IFERROR(IF(G495="","",M495/G495),"")</f>
        <v/>
      </c>
      <c r="S495" s="49" t="n">
        <f aca="false">IFERROR(VLOOKUP(H495,Settings!B14:C25,2,FALSE()),0)</f>
        <v>0</v>
      </c>
    </row>
    <row r="496" customFormat="false" ht="15" hidden="false" customHeight="false" outlineLevel="0" collapsed="false">
      <c r="A496" s="37" t="str">
        <f aca="false">IF(B496="","",ROW()-3)</f>
        <v/>
      </c>
      <c r="B496" s="38"/>
      <c r="C496" s="39"/>
      <c r="D496" s="39"/>
      <c r="E496" s="39"/>
      <c r="F496" s="39"/>
      <c r="G496" s="40"/>
      <c r="H496" s="39"/>
      <c r="I496" s="40" t="n">
        <f aca="false">IF(G496="",0,G496*S496)</f>
        <v>0</v>
      </c>
      <c r="J496" s="40"/>
      <c r="K496" s="40" t="n">
        <f aca="false">IF(G496="",0,G496-I496-IF(J496="",0,J496))</f>
        <v>0</v>
      </c>
      <c r="L496" s="40" t="n">
        <f aca="false">IF(O496="",0,IFERROR(INDEX(Purchases!I:I,MATCH(O496*1,Purchases!A:A,0)),0))</f>
        <v>0</v>
      </c>
      <c r="M496" s="40" t="n">
        <f aca="false">IF(G496="",0,K496-L496)</f>
        <v>0</v>
      </c>
      <c r="N496" s="48" t="str">
        <f aca="false">IFERROR(IF(G496="","",M496/G496),"")</f>
        <v/>
      </c>
      <c r="O496" s="39"/>
      <c r="P496" s="39"/>
      <c r="Q496" s="39"/>
      <c r="R496" s="39"/>
      <c r="S496" s="48" t="n">
        <f aca="false">IFERROR(VLOOKUP(H496,Settings!B14:C25,2,FALSE()),0)</f>
        <v>0</v>
      </c>
    </row>
    <row r="497" customFormat="false" ht="15" hidden="false" customHeight="false" outlineLevel="0" collapsed="false">
      <c r="A497" s="41" t="str">
        <f aca="false">IF(B497="","",ROW()-3)</f>
        <v/>
      </c>
      <c r="B497" s="42"/>
      <c r="G497" s="44"/>
      <c r="I497" s="44" t="n">
        <f aca="false">IF(G497="",0,G497*S497)</f>
        <v>0</v>
      </c>
      <c r="J497" s="44"/>
      <c r="K497" s="44" t="n">
        <f aca="false">IF(G497="",0,G497-I497-IF(J497="",0,J497))</f>
        <v>0</v>
      </c>
      <c r="L497" s="44" t="n">
        <f aca="false">IF(O497="",0,IFERROR(INDEX(Purchases!I:I,MATCH(O497*1,Purchases!A:A,0)),0))</f>
        <v>0</v>
      </c>
      <c r="M497" s="44" t="n">
        <f aca="false">IF(G497="",0,K497-L497)</f>
        <v>0</v>
      </c>
      <c r="N497" s="49" t="str">
        <f aca="false">IFERROR(IF(G497="","",M497/G497),"")</f>
        <v/>
      </c>
      <c r="S497" s="49" t="n">
        <f aca="false">IFERROR(VLOOKUP(H497,Settings!B14:C25,2,FALSE()),0)</f>
        <v>0</v>
      </c>
    </row>
    <row r="498" customFormat="false" ht="15" hidden="false" customHeight="false" outlineLevel="0" collapsed="false">
      <c r="A498" s="37" t="str">
        <f aca="false">IF(B498="","",ROW()-3)</f>
        <v/>
      </c>
      <c r="B498" s="38"/>
      <c r="C498" s="39"/>
      <c r="D498" s="39"/>
      <c r="E498" s="39"/>
      <c r="F498" s="39"/>
      <c r="G498" s="40"/>
      <c r="H498" s="39"/>
      <c r="I498" s="40" t="n">
        <f aca="false">IF(G498="",0,G498*S498)</f>
        <v>0</v>
      </c>
      <c r="J498" s="40"/>
      <c r="K498" s="40" t="n">
        <f aca="false">IF(G498="",0,G498-I498-IF(J498="",0,J498))</f>
        <v>0</v>
      </c>
      <c r="L498" s="40" t="n">
        <f aca="false">IF(O498="",0,IFERROR(INDEX(Purchases!I:I,MATCH(O498*1,Purchases!A:A,0)),0))</f>
        <v>0</v>
      </c>
      <c r="M498" s="40" t="n">
        <f aca="false">IF(G498="",0,K498-L498)</f>
        <v>0</v>
      </c>
      <c r="N498" s="48" t="str">
        <f aca="false">IFERROR(IF(G498="","",M498/G498),"")</f>
        <v/>
      </c>
      <c r="O498" s="39"/>
      <c r="P498" s="39"/>
      <c r="Q498" s="39"/>
      <c r="R498" s="39"/>
      <c r="S498" s="48" t="n">
        <f aca="false">IFERROR(VLOOKUP(H498,Settings!B14:C25,2,FALSE()),0)</f>
        <v>0</v>
      </c>
    </row>
    <row r="499" customFormat="false" ht="15" hidden="false" customHeight="false" outlineLevel="0" collapsed="false">
      <c r="A499" s="41" t="str">
        <f aca="false">IF(B499="","",ROW()-3)</f>
        <v/>
      </c>
      <c r="B499" s="42"/>
      <c r="G499" s="44"/>
      <c r="I499" s="44" t="n">
        <f aca="false">IF(G499="",0,G499*S499)</f>
        <v>0</v>
      </c>
      <c r="J499" s="44"/>
      <c r="K499" s="44" t="n">
        <f aca="false">IF(G499="",0,G499-I499-IF(J499="",0,J499))</f>
        <v>0</v>
      </c>
      <c r="L499" s="44" t="n">
        <f aca="false">IF(O499="",0,IFERROR(INDEX(Purchases!I:I,MATCH(O499*1,Purchases!A:A,0)),0))</f>
        <v>0</v>
      </c>
      <c r="M499" s="44" t="n">
        <f aca="false">IF(G499="",0,K499-L499)</f>
        <v>0</v>
      </c>
      <c r="N499" s="49" t="str">
        <f aca="false">IFERROR(IF(G499="","",M499/G499),"")</f>
        <v/>
      </c>
      <c r="S499" s="49" t="n">
        <f aca="false">IFERROR(VLOOKUP(H499,Settings!B14:C25,2,FALSE()),0)</f>
        <v>0</v>
      </c>
    </row>
    <row r="500" customFormat="false" ht="15" hidden="false" customHeight="false" outlineLevel="0" collapsed="false">
      <c r="A500" s="37" t="str">
        <f aca="false">IF(B500="","",ROW()-3)</f>
        <v/>
      </c>
      <c r="B500" s="38"/>
      <c r="C500" s="39"/>
      <c r="D500" s="39"/>
      <c r="E500" s="39"/>
      <c r="F500" s="39"/>
      <c r="G500" s="40"/>
      <c r="H500" s="39"/>
      <c r="I500" s="40" t="n">
        <f aca="false">IF(G500="",0,G500*S500)</f>
        <v>0</v>
      </c>
      <c r="J500" s="40"/>
      <c r="K500" s="40" t="n">
        <f aca="false">IF(G500="",0,G500-I500-IF(J500="",0,J500))</f>
        <v>0</v>
      </c>
      <c r="L500" s="40" t="n">
        <f aca="false">IF(O500="",0,IFERROR(INDEX(Purchases!I:I,MATCH(O500*1,Purchases!A:A,0)),0))</f>
        <v>0</v>
      </c>
      <c r="M500" s="40" t="n">
        <f aca="false">IF(G500="",0,K500-L500)</f>
        <v>0</v>
      </c>
      <c r="N500" s="48" t="str">
        <f aca="false">IFERROR(IF(G500="","",M500/G500),"")</f>
        <v/>
      </c>
      <c r="O500" s="39"/>
      <c r="P500" s="39"/>
      <c r="Q500" s="39"/>
      <c r="R500" s="39"/>
      <c r="S500" s="48" t="n">
        <f aca="false">IFERROR(VLOOKUP(H500,Settings!B14:C25,2,FALSE()),0)</f>
        <v>0</v>
      </c>
    </row>
    <row r="501" customFormat="false" ht="15" hidden="false" customHeight="false" outlineLevel="0" collapsed="false">
      <c r="A501" s="41" t="str">
        <f aca="false">IF(B501="","",ROW()-3)</f>
        <v/>
      </c>
      <c r="B501" s="42"/>
      <c r="G501" s="44"/>
      <c r="I501" s="44" t="n">
        <f aca="false">IF(G501="",0,G501*S501)</f>
        <v>0</v>
      </c>
      <c r="J501" s="44"/>
      <c r="K501" s="44" t="n">
        <f aca="false">IF(G501="",0,G501-I501-IF(J501="",0,J501))</f>
        <v>0</v>
      </c>
      <c r="L501" s="44" t="n">
        <f aca="false">IF(O501="",0,IFERROR(INDEX(Purchases!I:I,MATCH(O501*1,Purchases!A:A,0)),0))</f>
        <v>0</v>
      </c>
      <c r="M501" s="44" t="n">
        <f aca="false">IF(G501="",0,K501-L501)</f>
        <v>0</v>
      </c>
      <c r="N501" s="49" t="str">
        <f aca="false">IFERROR(IF(G501="","",M501/G501),"")</f>
        <v/>
      </c>
      <c r="S501" s="49" t="n">
        <f aca="false">IFERROR(VLOOKUP(H501,Settings!B14:C25,2,FALSE()),0)</f>
        <v>0</v>
      </c>
    </row>
    <row r="502" customFormat="false" ht="15" hidden="false" customHeight="false" outlineLevel="0" collapsed="false">
      <c r="A502" s="37" t="str">
        <f aca="false">IF(B502="","",ROW()-3)</f>
        <v/>
      </c>
      <c r="B502" s="38"/>
      <c r="C502" s="39"/>
      <c r="D502" s="39"/>
      <c r="E502" s="39"/>
      <c r="F502" s="39"/>
      <c r="G502" s="40"/>
      <c r="H502" s="39"/>
      <c r="I502" s="40" t="n">
        <f aca="false">IF(G502="",0,G502*S502)</f>
        <v>0</v>
      </c>
      <c r="J502" s="40"/>
      <c r="K502" s="40" t="n">
        <f aca="false">IF(G502="",0,G502-I502-IF(J502="",0,J502))</f>
        <v>0</v>
      </c>
      <c r="L502" s="40" t="n">
        <f aca="false">IF(O502="",0,IFERROR(INDEX(Purchases!I:I,MATCH(O502*1,Purchases!A:A,0)),0))</f>
        <v>0</v>
      </c>
      <c r="M502" s="40" t="n">
        <f aca="false">IF(G502="",0,K502-L502)</f>
        <v>0</v>
      </c>
      <c r="N502" s="48" t="str">
        <f aca="false">IFERROR(IF(G502="","",M502/G502),"")</f>
        <v/>
      </c>
      <c r="O502" s="39"/>
      <c r="P502" s="39"/>
      <c r="Q502" s="39"/>
      <c r="R502" s="39"/>
      <c r="S502" s="48" t="n">
        <f aca="false">IFERROR(VLOOKUP(H502,Settings!B14:C25,2,FALSE()),0)</f>
        <v>0</v>
      </c>
    </row>
    <row r="503" customFormat="false" ht="15" hidden="false" customHeight="false" outlineLevel="0" collapsed="false">
      <c r="A503" s="41" t="str">
        <f aca="false">IF(B503="","",ROW()-3)</f>
        <v/>
      </c>
      <c r="B503" s="42"/>
      <c r="G503" s="44"/>
      <c r="I503" s="44" t="n">
        <f aca="false">IF(G503="",0,G503*S503)</f>
        <v>0</v>
      </c>
      <c r="J503" s="44"/>
      <c r="K503" s="44" t="n">
        <f aca="false">IF(G503="",0,G503-I503-IF(J503="",0,J503))</f>
        <v>0</v>
      </c>
      <c r="L503" s="44" t="n">
        <f aca="false">IF(O503="",0,IFERROR(INDEX(Purchases!I:I,MATCH(O503*1,Purchases!A:A,0)),0))</f>
        <v>0</v>
      </c>
      <c r="M503" s="44" t="n">
        <f aca="false">IF(G503="",0,K503-L503)</f>
        <v>0</v>
      </c>
      <c r="N503" s="49" t="str">
        <f aca="false">IFERROR(IF(G503="","",M503/G503),"")</f>
        <v/>
      </c>
      <c r="S503" s="49" t="n">
        <f aca="false">IFERROR(VLOOKUP(H503,Settings!B14:C25,2,FALSE()),0)</f>
        <v>0</v>
      </c>
    </row>
    <row r="504" customFormat="false" ht="15" hidden="false" customHeight="false" outlineLevel="0" collapsed="false">
      <c r="A504" s="37" t="str">
        <f aca="false">IF(B504="","",ROW()-3)</f>
        <v/>
      </c>
      <c r="B504" s="38"/>
      <c r="C504" s="39"/>
      <c r="D504" s="39"/>
      <c r="E504" s="39"/>
      <c r="F504" s="39"/>
      <c r="G504" s="40"/>
      <c r="H504" s="39"/>
      <c r="I504" s="40" t="n">
        <f aca="false">IF(G504="",0,G504*S504)</f>
        <v>0</v>
      </c>
      <c r="J504" s="40"/>
      <c r="K504" s="40" t="n">
        <f aca="false">IF(G504="",0,G504-I504-IF(J504="",0,J504))</f>
        <v>0</v>
      </c>
      <c r="L504" s="40" t="n">
        <f aca="false">IF(O504="",0,IFERROR(INDEX(Purchases!I:I,MATCH(O504*1,Purchases!A:A,0)),0))</f>
        <v>0</v>
      </c>
      <c r="M504" s="40" t="n">
        <f aca="false">IF(G504="",0,K504-L504)</f>
        <v>0</v>
      </c>
      <c r="N504" s="48" t="str">
        <f aca="false">IFERROR(IF(G504="","",M504/G504),"")</f>
        <v/>
      </c>
      <c r="O504" s="39"/>
      <c r="P504" s="39"/>
      <c r="Q504" s="39"/>
      <c r="R504" s="39"/>
      <c r="S504" s="48" t="n">
        <f aca="false">IFERROR(VLOOKUP(H504,Settings!B14:C25,2,FALSE()),0)</f>
        <v>0</v>
      </c>
    </row>
    <row r="505" customFormat="false" ht="15" hidden="false" customHeight="false" outlineLevel="0" collapsed="false">
      <c r="A505" s="41" t="str">
        <f aca="false">IF(B505="","",ROW()-3)</f>
        <v/>
      </c>
      <c r="B505" s="42"/>
      <c r="G505" s="44"/>
      <c r="I505" s="44" t="n">
        <f aca="false">IF(G505="",0,G505*S505)</f>
        <v>0</v>
      </c>
      <c r="J505" s="44"/>
      <c r="K505" s="44" t="n">
        <f aca="false">IF(G505="",0,G505-I505-IF(J505="",0,J505))</f>
        <v>0</v>
      </c>
      <c r="L505" s="44" t="n">
        <f aca="false">IF(O505="",0,IFERROR(INDEX(Purchases!I:I,MATCH(O505*1,Purchases!A:A,0)),0))</f>
        <v>0</v>
      </c>
      <c r="M505" s="44" t="n">
        <f aca="false">IF(G505="",0,K505-L505)</f>
        <v>0</v>
      </c>
      <c r="N505" s="49" t="str">
        <f aca="false">IFERROR(IF(G505="","",M505/G505),"")</f>
        <v/>
      </c>
      <c r="S505" s="49" t="n">
        <f aca="false">IFERROR(VLOOKUP(H505,Settings!B14:C25,2,FALSE()),0)</f>
        <v>0</v>
      </c>
    </row>
    <row r="506" customFormat="false" ht="15" hidden="false" customHeight="false" outlineLevel="0" collapsed="false">
      <c r="A506" s="37" t="str">
        <f aca="false">IF(B506="","",ROW()-3)</f>
        <v/>
      </c>
      <c r="B506" s="38"/>
      <c r="C506" s="39"/>
      <c r="D506" s="39"/>
      <c r="E506" s="39"/>
      <c r="F506" s="39"/>
      <c r="G506" s="40"/>
      <c r="H506" s="39"/>
      <c r="I506" s="40" t="n">
        <f aca="false">IF(G506="",0,G506*S506)</f>
        <v>0</v>
      </c>
      <c r="J506" s="40"/>
      <c r="K506" s="40" t="n">
        <f aca="false">IF(G506="",0,G506-I506-IF(J506="",0,J506))</f>
        <v>0</v>
      </c>
      <c r="L506" s="40" t="n">
        <f aca="false">IF(O506="",0,IFERROR(INDEX(Purchases!I:I,MATCH(O506*1,Purchases!A:A,0)),0))</f>
        <v>0</v>
      </c>
      <c r="M506" s="40" t="n">
        <f aca="false">IF(G506="",0,K506-L506)</f>
        <v>0</v>
      </c>
      <c r="N506" s="48" t="str">
        <f aca="false">IFERROR(IF(G506="","",M506/G506),"")</f>
        <v/>
      </c>
      <c r="O506" s="39"/>
      <c r="P506" s="39"/>
      <c r="Q506" s="39"/>
      <c r="R506" s="39"/>
      <c r="S506" s="48" t="n">
        <f aca="false">IFERROR(VLOOKUP(H506,Settings!B14:C25,2,FALSE()),0)</f>
        <v>0</v>
      </c>
    </row>
    <row r="507" customFormat="false" ht="15" hidden="false" customHeight="false" outlineLevel="0" collapsed="false">
      <c r="A507" s="41" t="str">
        <f aca="false">IF(B507="","",ROW()-3)</f>
        <v/>
      </c>
      <c r="B507" s="42"/>
      <c r="G507" s="44"/>
      <c r="I507" s="44" t="n">
        <f aca="false">IF(G507="",0,G507*S507)</f>
        <v>0</v>
      </c>
      <c r="J507" s="44"/>
      <c r="K507" s="44" t="n">
        <f aca="false">IF(G507="",0,G507-I507-IF(J507="",0,J507))</f>
        <v>0</v>
      </c>
      <c r="L507" s="44" t="n">
        <f aca="false">IF(O507="",0,IFERROR(INDEX(Purchases!I:I,MATCH(O507*1,Purchases!A:A,0)),0))</f>
        <v>0</v>
      </c>
      <c r="M507" s="44" t="n">
        <f aca="false">IF(G507="",0,K507-L507)</f>
        <v>0</v>
      </c>
      <c r="N507" s="49" t="str">
        <f aca="false">IFERROR(IF(G507="","",M507/G507),"")</f>
        <v/>
      </c>
      <c r="S507" s="49" t="n">
        <f aca="false">IFERROR(VLOOKUP(H507,Settings!B14:C25,2,FALSE()),0)</f>
        <v>0</v>
      </c>
    </row>
    <row r="508" customFormat="false" ht="15" hidden="false" customHeight="false" outlineLevel="0" collapsed="false">
      <c r="A508" s="37" t="str">
        <f aca="false">IF(B508="","",ROW()-3)</f>
        <v/>
      </c>
      <c r="B508" s="38"/>
      <c r="C508" s="39"/>
      <c r="D508" s="39"/>
      <c r="E508" s="39"/>
      <c r="F508" s="39"/>
      <c r="G508" s="40"/>
      <c r="H508" s="39"/>
      <c r="I508" s="40" t="n">
        <f aca="false">IF(G508="",0,G508*S508)</f>
        <v>0</v>
      </c>
      <c r="J508" s="40"/>
      <c r="K508" s="40" t="n">
        <f aca="false">IF(G508="",0,G508-I508-IF(J508="",0,J508))</f>
        <v>0</v>
      </c>
      <c r="L508" s="40" t="n">
        <f aca="false">IF(O508="",0,IFERROR(INDEX(Purchases!I:I,MATCH(O508*1,Purchases!A:A,0)),0))</f>
        <v>0</v>
      </c>
      <c r="M508" s="40" t="n">
        <f aca="false">IF(G508="",0,K508-L508)</f>
        <v>0</v>
      </c>
      <c r="N508" s="48" t="str">
        <f aca="false">IFERROR(IF(G508="","",M508/G508),"")</f>
        <v/>
      </c>
      <c r="O508" s="39"/>
      <c r="P508" s="39"/>
      <c r="Q508" s="39"/>
      <c r="R508" s="39"/>
      <c r="S508" s="48" t="n">
        <f aca="false">IFERROR(VLOOKUP(H508,Settings!B14:C25,2,FALSE()),0)</f>
        <v>0</v>
      </c>
    </row>
    <row r="509" customFormat="false" ht="15" hidden="false" customHeight="false" outlineLevel="0" collapsed="false">
      <c r="A509" s="41" t="str">
        <f aca="false">IF(B509="","",ROW()-3)</f>
        <v/>
      </c>
      <c r="B509" s="42"/>
      <c r="G509" s="44"/>
      <c r="I509" s="44" t="n">
        <f aca="false">IF(G509="",0,G509*S509)</f>
        <v>0</v>
      </c>
      <c r="J509" s="44"/>
      <c r="K509" s="44" t="n">
        <f aca="false">IF(G509="",0,G509-I509-IF(J509="",0,J509))</f>
        <v>0</v>
      </c>
      <c r="L509" s="44" t="n">
        <f aca="false">IF(O509="",0,IFERROR(INDEX(Purchases!I:I,MATCH(O509*1,Purchases!A:A,0)),0))</f>
        <v>0</v>
      </c>
      <c r="M509" s="44" t="n">
        <f aca="false">IF(G509="",0,K509-L509)</f>
        <v>0</v>
      </c>
      <c r="N509" s="49" t="str">
        <f aca="false">IFERROR(IF(G509="","",M509/G509),"")</f>
        <v/>
      </c>
      <c r="S509" s="49" t="n">
        <f aca="false">IFERROR(VLOOKUP(H509,Settings!B14:C25,2,FALSE()),0)</f>
        <v>0</v>
      </c>
    </row>
    <row r="510" customFormat="false" ht="15" hidden="false" customHeight="false" outlineLevel="0" collapsed="false">
      <c r="A510" s="37" t="str">
        <f aca="false">IF(B510="","",ROW()-3)</f>
        <v/>
      </c>
      <c r="B510" s="38"/>
      <c r="C510" s="39"/>
      <c r="D510" s="39"/>
      <c r="E510" s="39"/>
      <c r="F510" s="39"/>
      <c r="G510" s="40"/>
      <c r="H510" s="39"/>
      <c r="I510" s="40" t="n">
        <f aca="false">IF(G510="",0,G510*S510)</f>
        <v>0</v>
      </c>
      <c r="J510" s="40"/>
      <c r="K510" s="40" t="n">
        <f aca="false">IF(G510="",0,G510-I510-IF(J510="",0,J510))</f>
        <v>0</v>
      </c>
      <c r="L510" s="40" t="n">
        <f aca="false">IF(O510="",0,IFERROR(INDEX(Purchases!I:I,MATCH(O510*1,Purchases!A:A,0)),0))</f>
        <v>0</v>
      </c>
      <c r="M510" s="40" t="n">
        <f aca="false">IF(G510="",0,K510-L510)</f>
        <v>0</v>
      </c>
      <c r="N510" s="48" t="str">
        <f aca="false">IFERROR(IF(G510="","",M510/G510),"")</f>
        <v/>
      </c>
      <c r="O510" s="39"/>
      <c r="P510" s="39"/>
      <c r="Q510" s="39"/>
      <c r="R510" s="39"/>
      <c r="S510" s="48" t="n">
        <f aca="false">IFERROR(VLOOKUP(H510,Settings!B14:C25,2,FALSE()),0)</f>
        <v>0</v>
      </c>
    </row>
    <row r="511" customFormat="false" ht="15" hidden="false" customHeight="false" outlineLevel="0" collapsed="false">
      <c r="A511" s="41" t="str">
        <f aca="false">IF(B511="","",ROW()-3)</f>
        <v/>
      </c>
      <c r="B511" s="42"/>
      <c r="G511" s="44"/>
      <c r="I511" s="44" t="n">
        <f aca="false">IF(G511="",0,G511*S511)</f>
        <v>0</v>
      </c>
      <c r="J511" s="44"/>
      <c r="K511" s="44" t="n">
        <f aca="false">IF(G511="",0,G511-I511-IF(J511="",0,J511))</f>
        <v>0</v>
      </c>
      <c r="L511" s="44" t="n">
        <f aca="false">IF(O511="",0,IFERROR(INDEX(Purchases!I:I,MATCH(O511*1,Purchases!A:A,0)),0))</f>
        <v>0</v>
      </c>
      <c r="M511" s="44" t="n">
        <f aca="false">IF(G511="",0,K511-L511)</f>
        <v>0</v>
      </c>
      <c r="N511" s="49" t="str">
        <f aca="false">IFERROR(IF(G511="","",M511/G511),"")</f>
        <v/>
      </c>
      <c r="S511" s="49" t="n">
        <f aca="false">IFERROR(VLOOKUP(H511,Settings!B14:C25,2,FALSE()),0)</f>
        <v>0</v>
      </c>
    </row>
    <row r="512" customFormat="false" ht="15" hidden="false" customHeight="false" outlineLevel="0" collapsed="false">
      <c r="A512" s="37" t="str">
        <f aca="false">IF(B512="","",ROW()-3)</f>
        <v/>
      </c>
      <c r="B512" s="38"/>
      <c r="C512" s="39"/>
      <c r="D512" s="39"/>
      <c r="E512" s="39"/>
      <c r="F512" s="39"/>
      <c r="G512" s="40"/>
      <c r="H512" s="39"/>
      <c r="I512" s="40" t="n">
        <f aca="false">IF(G512="",0,G512*S512)</f>
        <v>0</v>
      </c>
      <c r="J512" s="40"/>
      <c r="K512" s="40" t="n">
        <f aca="false">IF(G512="",0,G512-I512-IF(J512="",0,J512))</f>
        <v>0</v>
      </c>
      <c r="L512" s="40" t="n">
        <f aca="false">IF(O512="",0,IFERROR(INDEX(Purchases!I:I,MATCH(O512*1,Purchases!A:A,0)),0))</f>
        <v>0</v>
      </c>
      <c r="M512" s="40" t="n">
        <f aca="false">IF(G512="",0,K512-L512)</f>
        <v>0</v>
      </c>
      <c r="N512" s="48" t="str">
        <f aca="false">IFERROR(IF(G512="","",M512/G512),"")</f>
        <v/>
      </c>
      <c r="O512" s="39"/>
      <c r="P512" s="39"/>
      <c r="Q512" s="39"/>
      <c r="R512" s="39"/>
      <c r="S512" s="48" t="n">
        <f aca="false">IFERROR(VLOOKUP(H512,Settings!B14:C25,2,FALSE()),0)</f>
        <v>0</v>
      </c>
    </row>
    <row r="513" customFormat="false" ht="15" hidden="false" customHeight="false" outlineLevel="0" collapsed="false">
      <c r="A513" s="41" t="str">
        <f aca="false">IF(B513="","",ROW()-3)</f>
        <v/>
      </c>
      <c r="B513" s="42"/>
      <c r="G513" s="44"/>
      <c r="I513" s="44" t="n">
        <f aca="false">IF(G513="",0,G513*S513)</f>
        <v>0</v>
      </c>
      <c r="J513" s="44"/>
      <c r="K513" s="44" t="n">
        <f aca="false">IF(G513="",0,G513-I513-IF(J513="",0,J513))</f>
        <v>0</v>
      </c>
      <c r="L513" s="44" t="n">
        <f aca="false">IF(O513="",0,IFERROR(INDEX(Purchases!I:I,MATCH(O513*1,Purchases!A:A,0)),0))</f>
        <v>0</v>
      </c>
      <c r="M513" s="44" t="n">
        <f aca="false">IF(G513="",0,K513-L513)</f>
        <v>0</v>
      </c>
      <c r="N513" s="49" t="str">
        <f aca="false">IFERROR(IF(G513="","",M513/G513),"")</f>
        <v/>
      </c>
      <c r="S513" s="49" t="n">
        <f aca="false">IFERROR(VLOOKUP(H513,Settings!B14:C25,2,FALSE()),0)</f>
        <v>0</v>
      </c>
    </row>
    <row r="514" customFormat="false" ht="15" hidden="false" customHeight="false" outlineLevel="0" collapsed="false">
      <c r="A514" s="37" t="str">
        <f aca="false">IF(B514="","",ROW()-3)</f>
        <v/>
      </c>
      <c r="B514" s="38"/>
      <c r="C514" s="39"/>
      <c r="D514" s="39"/>
      <c r="E514" s="39"/>
      <c r="F514" s="39"/>
      <c r="G514" s="40"/>
      <c r="H514" s="39"/>
      <c r="I514" s="40" t="n">
        <f aca="false">IF(G514="",0,G514*S514)</f>
        <v>0</v>
      </c>
      <c r="J514" s="40"/>
      <c r="K514" s="40" t="n">
        <f aca="false">IF(G514="",0,G514-I514-IF(J514="",0,J514))</f>
        <v>0</v>
      </c>
      <c r="L514" s="40" t="n">
        <f aca="false">IF(O514="",0,IFERROR(INDEX(Purchases!I:I,MATCH(O514*1,Purchases!A:A,0)),0))</f>
        <v>0</v>
      </c>
      <c r="M514" s="40" t="n">
        <f aca="false">IF(G514="",0,K514-L514)</f>
        <v>0</v>
      </c>
      <c r="N514" s="48" t="str">
        <f aca="false">IFERROR(IF(G514="","",M514/G514),"")</f>
        <v/>
      </c>
      <c r="O514" s="39"/>
      <c r="P514" s="39"/>
      <c r="Q514" s="39"/>
      <c r="R514" s="39"/>
      <c r="S514" s="48" t="n">
        <f aca="false">IFERROR(VLOOKUP(H514,Settings!B14:C25,2,FALSE()),0)</f>
        <v>0</v>
      </c>
    </row>
    <row r="515" customFormat="false" ht="15" hidden="false" customHeight="false" outlineLevel="0" collapsed="false">
      <c r="A515" s="41" t="str">
        <f aca="false">IF(B515="","",ROW()-3)</f>
        <v/>
      </c>
      <c r="B515" s="42"/>
      <c r="G515" s="44"/>
      <c r="I515" s="44" t="n">
        <f aca="false">IF(G515="",0,G515*S515)</f>
        <v>0</v>
      </c>
      <c r="J515" s="44"/>
      <c r="K515" s="44" t="n">
        <f aca="false">IF(G515="",0,G515-I515-IF(J515="",0,J515))</f>
        <v>0</v>
      </c>
      <c r="L515" s="44" t="n">
        <f aca="false">IF(O515="",0,IFERROR(INDEX(Purchases!I:I,MATCH(O515*1,Purchases!A:A,0)),0))</f>
        <v>0</v>
      </c>
      <c r="M515" s="44" t="n">
        <f aca="false">IF(G515="",0,K515-L515)</f>
        <v>0</v>
      </c>
      <c r="N515" s="49" t="str">
        <f aca="false">IFERROR(IF(G515="","",M515/G515),"")</f>
        <v/>
      </c>
      <c r="S515" s="49" t="n">
        <f aca="false">IFERROR(VLOOKUP(H515,Settings!B14:C25,2,FALSE()),0)</f>
        <v>0</v>
      </c>
    </row>
    <row r="516" customFormat="false" ht="15" hidden="false" customHeight="false" outlineLevel="0" collapsed="false">
      <c r="A516" s="37" t="str">
        <f aca="false">IF(B516="","",ROW()-3)</f>
        <v/>
      </c>
      <c r="B516" s="38"/>
      <c r="C516" s="39"/>
      <c r="D516" s="39"/>
      <c r="E516" s="39"/>
      <c r="F516" s="39"/>
      <c r="G516" s="40"/>
      <c r="H516" s="39"/>
      <c r="I516" s="40" t="n">
        <f aca="false">IF(G516="",0,G516*S516)</f>
        <v>0</v>
      </c>
      <c r="J516" s="40"/>
      <c r="K516" s="40" t="n">
        <f aca="false">IF(G516="",0,G516-I516-IF(J516="",0,J516))</f>
        <v>0</v>
      </c>
      <c r="L516" s="40" t="n">
        <f aca="false">IF(O516="",0,IFERROR(INDEX(Purchases!I:I,MATCH(O516*1,Purchases!A:A,0)),0))</f>
        <v>0</v>
      </c>
      <c r="M516" s="40" t="n">
        <f aca="false">IF(G516="",0,K516-L516)</f>
        <v>0</v>
      </c>
      <c r="N516" s="48" t="str">
        <f aca="false">IFERROR(IF(G516="","",M516/G516),"")</f>
        <v/>
      </c>
      <c r="O516" s="39"/>
      <c r="P516" s="39"/>
      <c r="Q516" s="39"/>
      <c r="R516" s="39"/>
      <c r="S516" s="48" t="n">
        <f aca="false">IFERROR(VLOOKUP(H516,Settings!B14:C25,2,FALSE()),0)</f>
        <v>0</v>
      </c>
    </row>
    <row r="517" customFormat="false" ht="15" hidden="false" customHeight="false" outlineLevel="0" collapsed="false">
      <c r="A517" s="41" t="str">
        <f aca="false">IF(B517="","",ROW()-3)</f>
        <v/>
      </c>
      <c r="B517" s="42"/>
      <c r="G517" s="44"/>
      <c r="I517" s="44" t="n">
        <f aca="false">IF(G517="",0,G517*S517)</f>
        <v>0</v>
      </c>
      <c r="J517" s="44"/>
      <c r="K517" s="44" t="n">
        <f aca="false">IF(G517="",0,G517-I517-IF(J517="",0,J517))</f>
        <v>0</v>
      </c>
      <c r="L517" s="44" t="n">
        <f aca="false">IF(O517="",0,IFERROR(INDEX(Purchases!I:I,MATCH(O517*1,Purchases!A:A,0)),0))</f>
        <v>0</v>
      </c>
      <c r="M517" s="44" t="n">
        <f aca="false">IF(G517="",0,K517-L517)</f>
        <v>0</v>
      </c>
      <c r="N517" s="49" t="str">
        <f aca="false">IFERROR(IF(G517="","",M517/G517),"")</f>
        <v/>
      </c>
      <c r="S517" s="49" t="n">
        <f aca="false">IFERROR(VLOOKUP(H517,Settings!B14:C25,2,FALSE()),0)</f>
        <v>0</v>
      </c>
    </row>
    <row r="518" customFormat="false" ht="15" hidden="false" customHeight="false" outlineLevel="0" collapsed="false">
      <c r="A518" s="37" t="str">
        <f aca="false">IF(B518="","",ROW()-3)</f>
        <v/>
      </c>
      <c r="B518" s="38"/>
      <c r="C518" s="39"/>
      <c r="D518" s="39"/>
      <c r="E518" s="39"/>
      <c r="F518" s="39"/>
      <c r="G518" s="40"/>
      <c r="H518" s="39"/>
      <c r="I518" s="40" t="n">
        <f aca="false">IF(G518="",0,G518*S518)</f>
        <v>0</v>
      </c>
      <c r="J518" s="40"/>
      <c r="K518" s="40" t="n">
        <f aca="false">IF(G518="",0,G518-I518-IF(J518="",0,J518))</f>
        <v>0</v>
      </c>
      <c r="L518" s="40" t="n">
        <f aca="false">IF(O518="",0,IFERROR(INDEX(Purchases!I:I,MATCH(O518*1,Purchases!A:A,0)),0))</f>
        <v>0</v>
      </c>
      <c r="M518" s="40" t="n">
        <f aca="false">IF(G518="",0,K518-L518)</f>
        <v>0</v>
      </c>
      <c r="N518" s="48" t="str">
        <f aca="false">IFERROR(IF(G518="","",M518/G518),"")</f>
        <v/>
      </c>
      <c r="O518" s="39"/>
      <c r="P518" s="39"/>
      <c r="Q518" s="39"/>
      <c r="R518" s="39"/>
      <c r="S518" s="48" t="n">
        <f aca="false">IFERROR(VLOOKUP(H518,Settings!B14:C25,2,FALSE()),0)</f>
        <v>0</v>
      </c>
    </row>
    <row r="519" customFormat="false" ht="15" hidden="false" customHeight="false" outlineLevel="0" collapsed="false">
      <c r="A519" s="41" t="str">
        <f aca="false">IF(B519="","",ROW()-3)</f>
        <v/>
      </c>
      <c r="B519" s="42"/>
      <c r="G519" s="44"/>
      <c r="I519" s="44" t="n">
        <f aca="false">IF(G519="",0,G519*S519)</f>
        <v>0</v>
      </c>
      <c r="J519" s="44"/>
      <c r="K519" s="44" t="n">
        <f aca="false">IF(G519="",0,G519-I519-IF(J519="",0,J519))</f>
        <v>0</v>
      </c>
      <c r="L519" s="44" t="n">
        <f aca="false">IF(O519="",0,IFERROR(INDEX(Purchases!I:I,MATCH(O519*1,Purchases!A:A,0)),0))</f>
        <v>0</v>
      </c>
      <c r="M519" s="44" t="n">
        <f aca="false">IF(G519="",0,K519-L519)</f>
        <v>0</v>
      </c>
      <c r="N519" s="49" t="str">
        <f aca="false">IFERROR(IF(G519="","",M519/G519),"")</f>
        <v/>
      </c>
      <c r="S519" s="49" t="n">
        <f aca="false">IFERROR(VLOOKUP(H519,Settings!B14:C25,2,FALSE()),0)</f>
        <v>0</v>
      </c>
    </row>
    <row r="520" customFormat="false" ht="15" hidden="false" customHeight="false" outlineLevel="0" collapsed="false">
      <c r="A520" s="37" t="str">
        <f aca="false">IF(B520="","",ROW()-3)</f>
        <v/>
      </c>
      <c r="B520" s="38"/>
      <c r="C520" s="39"/>
      <c r="D520" s="39"/>
      <c r="E520" s="39"/>
      <c r="F520" s="39"/>
      <c r="G520" s="40"/>
      <c r="H520" s="39"/>
      <c r="I520" s="40" t="n">
        <f aca="false">IF(G520="",0,G520*S520)</f>
        <v>0</v>
      </c>
      <c r="J520" s="40"/>
      <c r="K520" s="40" t="n">
        <f aca="false">IF(G520="",0,G520-I520-IF(J520="",0,J520))</f>
        <v>0</v>
      </c>
      <c r="L520" s="40" t="n">
        <f aca="false">IF(O520="",0,IFERROR(INDEX(Purchases!I:I,MATCH(O520*1,Purchases!A:A,0)),0))</f>
        <v>0</v>
      </c>
      <c r="M520" s="40" t="n">
        <f aca="false">IF(G520="",0,K520-L520)</f>
        <v>0</v>
      </c>
      <c r="N520" s="48" t="str">
        <f aca="false">IFERROR(IF(G520="","",M520/G520),"")</f>
        <v/>
      </c>
      <c r="O520" s="39"/>
      <c r="P520" s="39"/>
      <c r="Q520" s="39"/>
      <c r="R520" s="39"/>
      <c r="S520" s="48" t="n">
        <f aca="false">IFERROR(VLOOKUP(H520,Settings!B14:C25,2,FALSE()),0)</f>
        <v>0</v>
      </c>
    </row>
    <row r="521" customFormat="false" ht="15" hidden="false" customHeight="false" outlineLevel="0" collapsed="false">
      <c r="A521" s="41" t="str">
        <f aca="false">IF(B521="","",ROW()-3)</f>
        <v/>
      </c>
      <c r="B521" s="42"/>
      <c r="G521" s="44"/>
      <c r="I521" s="44" t="n">
        <f aca="false">IF(G521="",0,G521*S521)</f>
        <v>0</v>
      </c>
      <c r="J521" s="44"/>
      <c r="K521" s="44" t="n">
        <f aca="false">IF(G521="",0,G521-I521-IF(J521="",0,J521))</f>
        <v>0</v>
      </c>
      <c r="L521" s="44" t="n">
        <f aca="false">IF(O521="",0,IFERROR(INDEX(Purchases!I:I,MATCH(O521*1,Purchases!A:A,0)),0))</f>
        <v>0</v>
      </c>
      <c r="M521" s="44" t="n">
        <f aca="false">IF(G521="",0,K521-L521)</f>
        <v>0</v>
      </c>
      <c r="N521" s="49" t="str">
        <f aca="false">IFERROR(IF(G521="","",M521/G521),"")</f>
        <v/>
      </c>
      <c r="S521" s="49" t="n">
        <f aca="false">IFERROR(VLOOKUP(H521,Settings!B14:C25,2,FALSE()),0)</f>
        <v>0</v>
      </c>
    </row>
    <row r="522" customFormat="false" ht="15" hidden="false" customHeight="false" outlineLevel="0" collapsed="false">
      <c r="A522" s="37" t="str">
        <f aca="false">IF(B522="","",ROW()-3)</f>
        <v/>
      </c>
      <c r="B522" s="38"/>
      <c r="C522" s="39"/>
      <c r="D522" s="39"/>
      <c r="E522" s="39"/>
      <c r="F522" s="39"/>
      <c r="G522" s="40"/>
      <c r="H522" s="39"/>
      <c r="I522" s="40" t="n">
        <f aca="false">IF(G522="",0,G522*S522)</f>
        <v>0</v>
      </c>
      <c r="J522" s="40"/>
      <c r="K522" s="40" t="n">
        <f aca="false">IF(G522="",0,G522-I522-IF(J522="",0,J522))</f>
        <v>0</v>
      </c>
      <c r="L522" s="40" t="n">
        <f aca="false">IF(O522="",0,IFERROR(INDEX(Purchases!I:I,MATCH(O522*1,Purchases!A:A,0)),0))</f>
        <v>0</v>
      </c>
      <c r="M522" s="40" t="n">
        <f aca="false">IF(G522="",0,K522-L522)</f>
        <v>0</v>
      </c>
      <c r="N522" s="48" t="str">
        <f aca="false">IFERROR(IF(G522="","",M522/G522),"")</f>
        <v/>
      </c>
      <c r="O522" s="39"/>
      <c r="P522" s="39"/>
      <c r="Q522" s="39"/>
      <c r="R522" s="39"/>
      <c r="S522" s="48" t="n">
        <f aca="false">IFERROR(VLOOKUP(H522,Settings!B14:C25,2,FALSE()),0)</f>
        <v>0</v>
      </c>
    </row>
    <row r="523" customFormat="false" ht="15" hidden="false" customHeight="false" outlineLevel="0" collapsed="false">
      <c r="A523" s="41" t="str">
        <f aca="false">IF(B523="","",ROW()-3)</f>
        <v/>
      </c>
      <c r="B523" s="42"/>
      <c r="G523" s="44"/>
      <c r="I523" s="44" t="n">
        <f aca="false">IF(G523="",0,G523*S523)</f>
        <v>0</v>
      </c>
      <c r="J523" s="44"/>
      <c r="K523" s="44" t="n">
        <f aca="false">IF(G523="",0,G523-I523-IF(J523="",0,J523))</f>
        <v>0</v>
      </c>
      <c r="L523" s="44" t="n">
        <f aca="false">IF(O523="",0,IFERROR(INDEX(Purchases!I:I,MATCH(O523*1,Purchases!A:A,0)),0))</f>
        <v>0</v>
      </c>
      <c r="M523" s="44" t="n">
        <f aca="false">IF(G523="",0,K523-L523)</f>
        <v>0</v>
      </c>
      <c r="N523" s="49" t="str">
        <f aca="false">IFERROR(IF(G523="","",M523/G523),"")</f>
        <v/>
      </c>
      <c r="S523" s="49" t="n">
        <f aca="false">IFERROR(VLOOKUP(H523,Settings!B14:C25,2,FALSE()),0)</f>
        <v>0</v>
      </c>
    </row>
    <row r="524" customFormat="false" ht="15" hidden="false" customHeight="false" outlineLevel="0" collapsed="false">
      <c r="A524" s="37" t="str">
        <f aca="false">IF(B524="","",ROW()-3)</f>
        <v/>
      </c>
      <c r="B524" s="38"/>
      <c r="C524" s="39"/>
      <c r="D524" s="39"/>
      <c r="E524" s="39"/>
      <c r="F524" s="39"/>
      <c r="G524" s="40"/>
      <c r="H524" s="39"/>
      <c r="I524" s="40" t="n">
        <f aca="false">IF(G524="",0,G524*S524)</f>
        <v>0</v>
      </c>
      <c r="J524" s="40"/>
      <c r="K524" s="40" t="n">
        <f aca="false">IF(G524="",0,G524-I524-IF(J524="",0,J524))</f>
        <v>0</v>
      </c>
      <c r="L524" s="40" t="n">
        <f aca="false">IF(O524="",0,IFERROR(INDEX(Purchases!I:I,MATCH(O524*1,Purchases!A:A,0)),0))</f>
        <v>0</v>
      </c>
      <c r="M524" s="40" t="n">
        <f aca="false">IF(G524="",0,K524-L524)</f>
        <v>0</v>
      </c>
      <c r="N524" s="48" t="str">
        <f aca="false">IFERROR(IF(G524="","",M524/G524),"")</f>
        <v/>
      </c>
      <c r="O524" s="39"/>
      <c r="P524" s="39"/>
      <c r="Q524" s="39"/>
      <c r="R524" s="39"/>
      <c r="S524" s="48" t="n">
        <f aca="false">IFERROR(VLOOKUP(H524,Settings!B14:C25,2,FALSE()),0)</f>
        <v>0</v>
      </c>
    </row>
    <row r="525" customFormat="false" ht="15" hidden="false" customHeight="false" outlineLevel="0" collapsed="false">
      <c r="A525" s="41" t="str">
        <f aca="false">IF(B525="","",ROW()-3)</f>
        <v/>
      </c>
      <c r="B525" s="42"/>
      <c r="G525" s="44"/>
      <c r="I525" s="44" t="n">
        <f aca="false">IF(G525="",0,G525*S525)</f>
        <v>0</v>
      </c>
      <c r="J525" s="44"/>
      <c r="K525" s="44" t="n">
        <f aca="false">IF(G525="",0,G525-I525-IF(J525="",0,J525))</f>
        <v>0</v>
      </c>
      <c r="L525" s="44" t="n">
        <f aca="false">IF(O525="",0,IFERROR(INDEX(Purchases!I:I,MATCH(O525*1,Purchases!A:A,0)),0))</f>
        <v>0</v>
      </c>
      <c r="M525" s="44" t="n">
        <f aca="false">IF(G525="",0,K525-L525)</f>
        <v>0</v>
      </c>
      <c r="N525" s="49" t="str">
        <f aca="false">IFERROR(IF(G525="","",M525/G525),"")</f>
        <v/>
      </c>
      <c r="S525" s="49" t="n">
        <f aca="false">IFERROR(VLOOKUP(H525,Settings!B14:C25,2,FALSE()),0)</f>
        <v>0</v>
      </c>
    </row>
    <row r="526" customFormat="false" ht="15" hidden="false" customHeight="false" outlineLevel="0" collapsed="false">
      <c r="A526" s="37" t="str">
        <f aca="false">IF(B526="","",ROW()-3)</f>
        <v/>
      </c>
      <c r="B526" s="38"/>
      <c r="C526" s="39"/>
      <c r="D526" s="39"/>
      <c r="E526" s="39"/>
      <c r="F526" s="39"/>
      <c r="G526" s="40"/>
      <c r="H526" s="39"/>
      <c r="I526" s="40" t="n">
        <f aca="false">IF(G526="",0,G526*S526)</f>
        <v>0</v>
      </c>
      <c r="J526" s="40"/>
      <c r="K526" s="40" t="n">
        <f aca="false">IF(G526="",0,G526-I526-IF(J526="",0,J526))</f>
        <v>0</v>
      </c>
      <c r="L526" s="40" t="n">
        <f aca="false">IF(O526="",0,IFERROR(INDEX(Purchases!I:I,MATCH(O526*1,Purchases!A:A,0)),0))</f>
        <v>0</v>
      </c>
      <c r="M526" s="40" t="n">
        <f aca="false">IF(G526="",0,K526-L526)</f>
        <v>0</v>
      </c>
      <c r="N526" s="48" t="str">
        <f aca="false">IFERROR(IF(G526="","",M526/G526),"")</f>
        <v/>
      </c>
      <c r="O526" s="39"/>
      <c r="P526" s="39"/>
      <c r="Q526" s="39"/>
      <c r="R526" s="39"/>
      <c r="S526" s="48" t="n">
        <f aca="false">IFERROR(VLOOKUP(H526,Settings!B14:C25,2,FALSE()),0)</f>
        <v>0</v>
      </c>
    </row>
    <row r="527" customFormat="false" ht="15" hidden="false" customHeight="false" outlineLevel="0" collapsed="false">
      <c r="A527" s="41" t="str">
        <f aca="false">IF(B527="","",ROW()-3)</f>
        <v/>
      </c>
      <c r="B527" s="42"/>
      <c r="G527" s="44"/>
      <c r="I527" s="44" t="n">
        <f aca="false">IF(G527="",0,G527*S527)</f>
        <v>0</v>
      </c>
      <c r="J527" s="44"/>
      <c r="K527" s="44" t="n">
        <f aca="false">IF(G527="",0,G527-I527-IF(J527="",0,J527))</f>
        <v>0</v>
      </c>
      <c r="L527" s="44" t="n">
        <f aca="false">IF(O527="",0,IFERROR(INDEX(Purchases!I:I,MATCH(O527*1,Purchases!A:A,0)),0))</f>
        <v>0</v>
      </c>
      <c r="M527" s="44" t="n">
        <f aca="false">IF(G527="",0,K527-L527)</f>
        <v>0</v>
      </c>
      <c r="N527" s="49" t="str">
        <f aca="false">IFERROR(IF(G527="","",M527/G527),"")</f>
        <v/>
      </c>
      <c r="S527" s="49" t="n">
        <f aca="false">IFERROR(VLOOKUP(H527,Settings!B14:C25,2,FALSE()),0)</f>
        <v>0</v>
      </c>
    </row>
    <row r="528" customFormat="false" ht="15" hidden="false" customHeight="false" outlineLevel="0" collapsed="false">
      <c r="A528" s="37" t="str">
        <f aca="false">IF(B528="","",ROW()-3)</f>
        <v/>
      </c>
      <c r="B528" s="38"/>
      <c r="C528" s="39"/>
      <c r="D528" s="39"/>
      <c r="E528" s="39"/>
      <c r="F528" s="39"/>
      <c r="G528" s="40"/>
      <c r="H528" s="39"/>
      <c r="I528" s="40" t="n">
        <f aca="false">IF(G528="",0,G528*S528)</f>
        <v>0</v>
      </c>
      <c r="J528" s="40"/>
      <c r="K528" s="40" t="n">
        <f aca="false">IF(G528="",0,G528-I528-IF(J528="",0,J528))</f>
        <v>0</v>
      </c>
      <c r="L528" s="40" t="n">
        <f aca="false">IF(O528="",0,IFERROR(INDEX(Purchases!I:I,MATCH(O528*1,Purchases!A:A,0)),0))</f>
        <v>0</v>
      </c>
      <c r="M528" s="40" t="n">
        <f aca="false">IF(G528="",0,K528-L528)</f>
        <v>0</v>
      </c>
      <c r="N528" s="48" t="str">
        <f aca="false">IFERROR(IF(G528="","",M528/G528),"")</f>
        <v/>
      </c>
      <c r="O528" s="39"/>
      <c r="P528" s="39"/>
      <c r="Q528" s="39"/>
      <c r="R528" s="39"/>
      <c r="S528" s="48" t="n">
        <f aca="false">IFERROR(VLOOKUP(H528,Settings!B14:C25,2,FALSE()),0)</f>
        <v>0</v>
      </c>
    </row>
    <row r="529" customFormat="false" ht="15" hidden="false" customHeight="false" outlineLevel="0" collapsed="false">
      <c r="A529" s="41" t="str">
        <f aca="false">IF(B529="","",ROW()-3)</f>
        <v/>
      </c>
      <c r="B529" s="42"/>
      <c r="G529" s="44"/>
      <c r="I529" s="44" t="n">
        <f aca="false">IF(G529="",0,G529*S529)</f>
        <v>0</v>
      </c>
      <c r="J529" s="44"/>
      <c r="K529" s="44" t="n">
        <f aca="false">IF(G529="",0,G529-I529-IF(J529="",0,J529))</f>
        <v>0</v>
      </c>
      <c r="L529" s="44" t="n">
        <f aca="false">IF(O529="",0,IFERROR(INDEX(Purchases!I:I,MATCH(O529*1,Purchases!A:A,0)),0))</f>
        <v>0</v>
      </c>
      <c r="M529" s="44" t="n">
        <f aca="false">IF(G529="",0,K529-L529)</f>
        <v>0</v>
      </c>
      <c r="N529" s="49" t="str">
        <f aca="false">IFERROR(IF(G529="","",M529/G529),"")</f>
        <v/>
      </c>
      <c r="S529" s="49" t="n">
        <f aca="false">IFERROR(VLOOKUP(H529,Settings!B14:C25,2,FALSE()),0)</f>
        <v>0</v>
      </c>
    </row>
    <row r="530" customFormat="false" ht="15" hidden="false" customHeight="false" outlineLevel="0" collapsed="false">
      <c r="A530" s="37" t="str">
        <f aca="false">IF(B530="","",ROW()-3)</f>
        <v/>
      </c>
      <c r="B530" s="38"/>
      <c r="C530" s="39"/>
      <c r="D530" s="39"/>
      <c r="E530" s="39"/>
      <c r="F530" s="39"/>
      <c r="G530" s="40"/>
      <c r="H530" s="39"/>
      <c r="I530" s="40" t="n">
        <f aca="false">IF(G530="",0,G530*S530)</f>
        <v>0</v>
      </c>
      <c r="J530" s="40"/>
      <c r="K530" s="40" t="n">
        <f aca="false">IF(G530="",0,G530-I530-IF(J530="",0,J530))</f>
        <v>0</v>
      </c>
      <c r="L530" s="40" t="n">
        <f aca="false">IF(O530="",0,IFERROR(INDEX(Purchases!I:I,MATCH(O530*1,Purchases!A:A,0)),0))</f>
        <v>0</v>
      </c>
      <c r="M530" s="40" t="n">
        <f aca="false">IF(G530="",0,K530-L530)</f>
        <v>0</v>
      </c>
      <c r="N530" s="48" t="str">
        <f aca="false">IFERROR(IF(G530="","",M530/G530),"")</f>
        <v/>
      </c>
      <c r="O530" s="39"/>
      <c r="P530" s="39"/>
      <c r="Q530" s="39"/>
      <c r="R530" s="39"/>
      <c r="S530" s="48" t="n">
        <f aca="false">IFERROR(VLOOKUP(H530,Settings!B14:C25,2,FALSE()),0)</f>
        <v>0</v>
      </c>
    </row>
    <row r="531" customFormat="false" ht="15" hidden="false" customHeight="false" outlineLevel="0" collapsed="false">
      <c r="A531" s="41" t="str">
        <f aca="false">IF(B531="","",ROW()-3)</f>
        <v/>
      </c>
      <c r="B531" s="42"/>
      <c r="G531" s="44"/>
      <c r="I531" s="44" t="n">
        <f aca="false">IF(G531="",0,G531*S531)</f>
        <v>0</v>
      </c>
      <c r="J531" s="44"/>
      <c r="K531" s="44" t="n">
        <f aca="false">IF(G531="",0,G531-I531-IF(J531="",0,J531))</f>
        <v>0</v>
      </c>
      <c r="L531" s="44" t="n">
        <f aca="false">IF(O531="",0,IFERROR(INDEX(Purchases!I:I,MATCH(O531*1,Purchases!A:A,0)),0))</f>
        <v>0</v>
      </c>
      <c r="M531" s="44" t="n">
        <f aca="false">IF(G531="",0,K531-L531)</f>
        <v>0</v>
      </c>
      <c r="N531" s="49" t="str">
        <f aca="false">IFERROR(IF(G531="","",M531/G531),"")</f>
        <v/>
      </c>
      <c r="S531" s="49" t="n">
        <f aca="false">IFERROR(VLOOKUP(H531,Settings!B14:C25,2,FALSE()),0)</f>
        <v>0</v>
      </c>
    </row>
    <row r="532" customFormat="false" ht="15" hidden="false" customHeight="false" outlineLevel="0" collapsed="false">
      <c r="A532" s="37" t="str">
        <f aca="false">IF(B532="","",ROW()-3)</f>
        <v/>
      </c>
      <c r="B532" s="38"/>
      <c r="C532" s="39"/>
      <c r="D532" s="39"/>
      <c r="E532" s="39"/>
      <c r="F532" s="39"/>
      <c r="G532" s="40"/>
      <c r="H532" s="39"/>
      <c r="I532" s="40" t="n">
        <f aca="false">IF(G532="",0,G532*S532)</f>
        <v>0</v>
      </c>
      <c r="J532" s="40"/>
      <c r="K532" s="40" t="n">
        <f aca="false">IF(G532="",0,G532-I532-IF(J532="",0,J532))</f>
        <v>0</v>
      </c>
      <c r="L532" s="40" t="n">
        <f aca="false">IF(O532="",0,IFERROR(INDEX(Purchases!I:I,MATCH(O532*1,Purchases!A:A,0)),0))</f>
        <v>0</v>
      </c>
      <c r="M532" s="40" t="n">
        <f aca="false">IF(G532="",0,K532-L532)</f>
        <v>0</v>
      </c>
      <c r="N532" s="48" t="str">
        <f aca="false">IFERROR(IF(G532="","",M532/G532),"")</f>
        <v/>
      </c>
      <c r="O532" s="39"/>
      <c r="P532" s="39"/>
      <c r="Q532" s="39"/>
      <c r="R532" s="39"/>
      <c r="S532" s="48" t="n">
        <f aca="false">IFERROR(VLOOKUP(H532,Settings!B14:C25,2,FALSE()),0)</f>
        <v>0</v>
      </c>
    </row>
    <row r="533" customFormat="false" ht="15" hidden="false" customHeight="false" outlineLevel="0" collapsed="false">
      <c r="A533" s="41" t="str">
        <f aca="false">IF(B533="","",ROW()-3)</f>
        <v/>
      </c>
      <c r="B533" s="42"/>
      <c r="G533" s="44"/>
      <c r="I533" s="44" t="n">
        <f aca="false">IF(G533="",0,G533*S533)</f>
        <v>0</v>
      </c>
      <c r="J533" s="44"/>
      <c r="K533" s="44" t="n">
        <f aca="false">IF(G533="",0,G533-I533-IF(J533="",0,J533))</f>
        <v>0</v>
      </c>
      <c r="L533" s="44" t="n">
        <f aca="false">IF(O533="",0,IFERROR(INDEX(Purchases!I:I,MATCH(O533*1,Purchases!A:A,0)),0))</f>
        <v>0</v>
      </c>
      <c r="M533" s="44" t="n">
        <f aca="false">IF(G533="",0,K533-L533)</f>
        <v>0</v>
      </c>
      <c r="N533" s="49" t="str">
        <f aca="false">IFERROR(IF(G533="","",M533/G533),"")</f>
        <v/>
      </c>
      <c r="S533" s="49" t="n">
        <f aca="false">IFERROR(VLOOKUP(H533,Settings!B14:C25,2,FALSE()),0)</f>
        <v>0</v>
      </c>
    </row>
    <row r="534" customFormat="false" ht="15" hidden="false" customHeight="false" outlineLevel="0" collapsed="false">
      <c r="A534" s="37" t="str">
        <f aca="false">IF(B534="","",ROW()-3)</f>
        <v/>
      </c>
      <c r="B534" s="38"/>
      <c r="C534" s="39"/>
      <c r="D534" s="39"/>
      <c r="E534" s="39"/>
      <c r="F534" s="39"/>
      <c r="G534" s="40"/>
      <c r="H534" s="39"/>
      <c r="I534" s="40" t="n">
        <f aca="false">IF(G534="",0,G534*S534)</f>
        <v>0</v>
      </c>
      <c r="J534" s="40"/>
      <c r="K534" s="40" t="n">
        <f aca="false">IF(G534="",0,G534-I534-IF(J534="",0,J534))</f>
        <v>0</v>
      </c>
      <c r="L534" s="40" t="n">
        <f aca="false">IF(O534="",0,IFERROR(INDEX(Purchases!I:I,MATCH(O534*1,Purchases!A:A,0)),0))</f>
        <v>0</v>
      </c>
      <c r="M534" s="40" t="n">
        <f aca="false">IF(G534="",0,K534-L534)</f>
        <v>0</v>
      </c>
      <c r="N534" s="48" t="str">
        <f aca="false">IFERROR(IF(G534="","",M534/G534),"")</f>
        <v/>
      </c>
      <c r="O534" s="39"/>
      <c r="P534" s="39"/>
      <c r="Q534" s="39"/>
      <c r="R534" s="39"/>
      <c r="S534" s="48" t="n">
        <f aca="false">IFERROR(VLOOKUP(H534,Settings!B14:C25,2,FALSE()),0)</f>
        <v>0</v>
      </c>
    </row>
    <row r="535" customFormat="false" ht="15" hidden="false" customHeight="false" outlineLevel="0" collapsed="false">
      <c r="A535" s="41" t="str">
        <f aca="false">IF(B535="","",ROW()-3)</f>
        <v/>
      </c>
      <c r="B535" s="42"/>
      <c r="G535" s="44"/>
      <c r="I535" s="44" t="n">
        <f aca="false">IF(G535="",0,G535*S535)</f>
        <v>0</v>
      </c>
      <c r="J535" s="44"/>
      <c r="K535" s="44" t="n">
        <f aca="false">IF(G535="",0,G535-I535-IF(J535="",0,J535))</f>
        <v>0</v>
      </c>
      <c r="L535" s="44" t="n">
        <f aca="false">IF(O535="",0,IFERROR(INDEX(Purchases!I:I,MATCH(O535*1,Purchases!A:A,0)),0))</f>
        <v>0</v>
      </c>
      <c r="M535" s="44" t="n">
        <f aca="false">IF(G535="",0,K535-L535)</f>
        <v>0</v>
      </c>
      <c r="N535" s="49" t="str">
        <f aca="false">IFERROR(IF(G535="","",M535/G535),"")</f>
        <v/>
      </c>
      <c r="S535" s="49" t="n">
        <f aca="false">IFERROR(VLOOKUP(H535,Settings!B14:C25,2,FALSE()),0)</f>
        <v>0</v>
      </c>
    </row>
    <row r="536" customFormat="false" ht="15" hidden="false" customHeight="false" outlineLevel="0" collapsed="false">
      <c r="A536" s="37" t="str">
        <f aca="false">IF(B536="","",ROW()-3)</f>
        <v/>
      </c>
      <c r="B536" s="38"/>
      <c r="C536" s="39"/>
      <c r="D536" s="39"/>
      <c r="E536" s="39"/>
      <c r="F536" s="39"/>
      <c r="G536" s="40"/>
      <c r="H536" s="39"/>
      <c r="I536" s="40" t="n">
        <f aca="false">IF(G536="",0,G536*S536)</f>
        <v>0</v>
      </c>
      <c r="J536" s="40"/>
      <c r="K536" s="40" t="n">
        <f aca="false">IF(G536="",0,G536-I536-IF(J536="",0,J536))</f>
        <v>0</v>
      </c>
      <c r="L536" s="40" t="n">
        <f aca="false">IF(O536="",0,IFERROR(INDEX(Purchases!I:I,MATCH(O536*1,Purchases!A:A,0)),0))</f>
        <v>0</v>
      </c>
      <c r="M536" s="40" t="n">
        <f aca="false">IF(G536="",0,K536-L536)</f>
        <v>0</v>
      </c>
      <c r="N536" s="48" t="str">
        <f aca="false">IFERROR(IF(G536="","",M536/G536),"")</f>
        <v/>
      </c>
      <c r="O536" s="39"/>
      <c r="P536" s="39"/>
      <c r="Q536" s="39"/>
      <c r="R536" s="39"/>
      <c r="S536" s="48" t="n">
        <f aca="false">IFERROR(VLOOKUP(H536,Settings!B14:C25,2,FALSE()),0)</f>
        <v>0</v>
      </c>
    </row>
    <row r="537" customFormat="false" ht="15" hidden="false" customHeight="false" outlineLevel="0" collapsed="false">
      <c r="A537" s="41" t="str">
        <f aca="false">IF(B537="","",ROW()-3)</f>
        <v/>
      </c>
      <c r="B537" s="42"/>
      <c r="G537" s="44"/>
      <c r="I537" s="44" t="n">
        <f aca="false">IF(G537="",0,G537*S537)</f>
        <v>0</v>
      </c>
      <c r="J537" s="44"/>
      <c r="K537" s="44" t="n">
        <f aca="false">IF(G537="",0,G537-I537-IF(J537="",0,J537))</f>
        <v>0</v>
      </c>
      <c r="L537" s="44" t="n">
        <f aca="false">IF(O537="",0,IFERROR(INDEX(Purchases!I:I,MATCH(O537*1,Purchases!A:A,0)),0))</f>
        <v>0</v>
      </c>
      <c r="M537" s="44" t="n">
        <f aca="false">IF(G537="",0,K537-L537)</f>
        <v>0</v>
      </c>
      <c r="N537" s="49" t="str">
        <f aca="false">IFERROR(IF(G537="","",M537/G537),"")</f>
        <v/>
      </c>
      <c r="S537" s="49" t="n">
        <f aca="false">IFERROR(VLOOKUP(H537,Settings!B14:C25,2,FALSE()),0)</f>
        <v>0</v>
      </c>
    </row>
    <row r="538" customFormat="false" ht="15" hidden="false" customHeight="false" outlineLevel="0" collapsed="false">
      <c r="A538" s="37" t="str">
        <f aca="false">IF(B538="","",ROW()-3)</f>
        <v/>
      </c>
      <c r="B538" s="38"/>
      <c r="C538" s="39"/>
      <c r="D538" s="39"/>
      <c r="E538" s="39"/>
      <c r="F538" s="39"/>
      <c r="G538" s="40"/>
      <c r="H538" s="39"/>
      <c r="I538" s="40" t="n">
        <f aca="false">IF(G538="",0,G538*S538)</f>
        <v>0</v>
      </c>
      <c r="J538" s="40"/>
      <c r="K538" s="40" t="n">
        <f aca="false">IF(G538="",0,G538-I538-IF(J538="",0,J538))</f>
        <v>0</v>
      </c>
      <c r="L538" s="40" t="n">
        <f aca="false">IF(O538="",0,IFERROR(INDEX(Purchases!I:I,MATCH(O538*1,Purchases!A:A,0)),0))</f>
        <v>0</v>
      </c>
      <c r="M538" s="40" t="n">
        <f aca="false">IF(G538="",0,K538-L538)</f>
        <v>0</v>
      </c>
      <c r="N538" s="48" t="str">
        <f aca="false">IFERROR(IF(G538="","",M538/G538),"")</f>
        <v/>
      </c>
      <c r="O538" s="39"/>
      <c r="P538" s="39"/>
      <c r="Q538" s="39"/>
      <c r="R538" s="39"/>
      <c r="S538" s="48" t="n">
        <f aca="false">IFERROR(VLOOKUP(H538,Settings!B14:C25,2,FALSE()),0)</f>
        <v>0</v>
      </c>
    </row>
    <row r="539" customFormat="false" ht="15" hidden="false" customHeight="false" outlineLevel="0" collapsed="false">
      <c r="A539" s="41" t="str">
        <f aca="false">IF(B539="","",ROW()-3)</f>
        <v/>
      </c>
      <c r="B539" s="42"/>
      <c r="G539" s="44"/>
      <c r="I539" s="44" t="n">
        <f aca="false">IF(G539="",0,G539*S539)</f>
        <v>0</v>
      </c>
      <c r="J539" s="44"/>
      <c r="K539" s="44" t="n">
        <f aca="false">IF(G539="",0,G539-I539-IF(J539="",0,J539))</f>
        <v>0</v>
      </c>
      <c r="L539" s="44" t="n">
        <f aca="false">IF(O539="",0,IFERROR(INDEX(Purchases!I:I,MATCH(O539*1,Purchases!A:A,0)),0))</f>
        <v>0</v>
      </c>
      <c r="M539" s="44" t="n">
        <f aca="false">IF(G539="",0,K539-L539)</f>
        <v>0</v>
      </c>
      <c r="N539" s="49" t="str">
        <f aca="false">IFERROR(IF(G539="","",M539/G539),"")</f>
        <v/>
      </c>
      <c r="S539" s="49" t="n">
        <f aca="false">IFERROR(VLOOKUP(H539,Settings!B14:C25,2,FALSE()),0)</f>
        <v>0</v>
      </c>
    </row>
    <row r="540" customFormat="false" ht="15" hidden="false" customHeight="false" outlineLevel="0" collapsed="false">
      <c r="A540" s="37" t="str">
        <f aca="false">IF(B540="","",ROW()-3)</f>
        <v/>
      </c>
      <c r="B540" s="38"/>
      <c r="C540" s="39"/>
      <c r="D540" s="39"/>
      <c r="E540" s="39"/>
      <c r="F540" s="39"/>
      <c r="G540" s="40"/>
      <c r="H540" s="39"/>
      <c r="I540" s="40" t="n">
        <f aca="false">IF(G540="",0,G540*S540)</f>
        <v>0</v>
      </c>
      <c r="J540" s="40"/>
      <c r="K540" s="40" t="n">
        <f aca="false">IF(G540="",0,G540-I540-IF(J540="",0,J540))</f>
        <v>0</v>
      </c>
      <c r="L540" s="40" t="n">
        <f aca="false">IF(O540="",0,IFERROR(INDEX(Purchases!I:I,MATCH(O540*1,Purchases!A:A,0)),0))</f>
        <v>0</v>
      </c>
      <c r="M540" s="40" t="n">
        <f aca="false">IF(G540="",0,K540-L540)</f>
        <v>0</v>
      </c>
      <c r="N540" s="48" t="str">
        <f aca="false">IFERROR(IF(G540="","",M540/G540),"")</f>
        <v/>
      </c>
      <c r="O540" s="39"/>
      <c r="P540" s="39"/>
      <c r="Q540" s="39"/>
      <c r="R540" s="39"/>
      <c r="S540" s="48" t="n">
        <f aca="false">IFERROR(VLOOKUP(H540,Settings!B14:C25,2,FALSE()),0)</f>
        <v>0</v>
      </c>
    </row>
    <row r="541" customFormat="false" ht="15" hidden="false" customHeight="false" outlineLevel="0" collapsed="false">
      <c r="A541" s="41" t="str">
        <f aca="false">IF(B541="","",ROW()-3)</f>
        <v/>
      </c>
      <c r="B541" s="42"/>
      <c r="G541" s="44"/>
      <c r="I541" s="44" t="n">
        <f aca="false">IF(G541="",0,G541*S541)</f>
        <v>0</v>
      </c>
      <c r="J541" s="44"/>
      <c r="K541" s="44" t="n">
        <f aca="false">IF(G541="",0,G541-I541-IF(J541="",0,J541))</f>
        <v>0</v>
      </c>
      <c r="L541" s="44" t="n">
        <f aca="false">IF(O541="",0,IFERROR(INDEX(Purchases!I:I,MATCH(O541*1,Purchases!A:A,0)),0))</f>
        <v>0</v>
      </c>
      <c r="M541" s="44" t="n">
        <f aca="false">IF(G541="",0,K541-L541)</f>
        <v>0</v>
      </c>
      <c r="N541" s="49" t="str">
        <f aca="false">IFERROR(IF(G541="","",M541/G541),"")</f>
        <v/>
      </c>
      <c r="S541" s="49" t="n">
        <f aca="false">IFERROR(VLOOKUP(H541,Settings!B14:C25,2,FALSE()),0)</f>
        <v>0</v>
      </c>
    </row>
    <row r="542" customFormat="false" ht="15" hidden="false" customHeight="false" outlineLevel="0" collapsed="false">
      <c r="A542" s="37" t="str">
        <f aca="false">IF(B542="","",ROW()-3)</f>
        <v/>
      </c>
      <c r="B542" s="38"/>
      <c r="C542" s="39"/>
      <c r="D542" s="39"/>
      <c r="E542" s="39"/>
      <c r="F542" s="39"/>
      <c r="G542" s="40"/>
      <c r="H542" s="39"/>
      <c r="I542" s="40" t="n">
        <f aca="false">IF(G542="",0,G542*S542)</f>
        <v>0</v>
      </c>
      <c r="J542" s="40"/>
      <c r="K542" s="40" t="n">
        <f aca="false">IF(G542="",0,G542-I542-IF(J542="",0,J542))</f>
        <v>0</v>
      </c>
      <c r="L542" s="40" t="n">
        <f aca="false">IF(O542="",0,IFERROR(INDEX(Purchases!I:I,MATCH(O542*1,Purchases!A:A,0)),0))</f>
        <v>0</v>
      </c>
      <c r="M542" s="40" t="n">
        <f aca="false">IF(G542="",0,K542-L542)</f>
        <v>0</v>
      </c>
      <c r="N542" s="48" t="str">
        <f aca="false">IFERROR(IF(G542="","",M542/G542),"")</f>
        <v/>
      </c>
      <c r="O542" s="39"/>
      <c r="P542" s="39"/>
      <c r="Q542" s="39"/>
      <c r="R542" s="39"/>
      <c r="S542" s="48" t="n">
        <f aca="false">IFERROR(VLOOKUP(H542,Settings!B14:C25,2,FALSE()),0)</f>
        <v>0</v>
      </c>
    </row>
    <row r="543" customFormat="false" ht="15" hidden="false" customHeight="false" outlineLevel="0" collapsed="false">
      <c r="A543" s="41" t="str">
        <f aca="false">IF(B543="","",ROW()-3)</f>
        <v/>
      </c>
      <c r="B543" s="42"/>
      <c r="G543" s="44"/>
      <c r="I543" s="44" t="n">
        <f aca="false">IF(G543="",0,G543*S543)</f>
        <v>0</v>
      </c>
      <c r="J543" s="44"/>
      <c r="K543" s="44" t="n">
        <f aca="false">IF(G543="",0,G543-I543-IF(J543="",0,J543))</f>
        <v>0</v>
      </c>
      <c r="L543" s="44" t="n">
        <f aca="false">IF(O543="",0,IFERROR(INDEX(Purchases!I:I,MATCH(O543*1,Purchases!A:A,0)),0))</f>
        <v>0</v>
      </c>
      <c r="M543" s="44" t="n">
        <f aca="false">IF(G543="",0,K543-L543)</f>
        <v>0</v>
      </c>
      <c r="N543" s="49" t="str">
        <f aca="false">IFERROR(IF(G543="","",M543/G543),"")</f>
        <v/>
      </c>
      <c r="S543" s="49" t="n">
        <f aca="false">IFERROR(VLOOKUP(H543,Settings!B14:C25,2,FALSE()),0)</f>
        <v>0</v>
      </c>
    </row>
    <row r="544" customFormat="false" ht="15" hidden="false" customHeight="false" outlineLevel="0" collapsed="false">
      <c r="A544" s="37" t="str">
        <f aca="false">IF(B544="","",ROW()-3)</f>
        <v/>
      </c>
      <c r="B544" s="38"/>
      <c r="C544" s="39"/>
      <c r="D544" s="39"/>
      <c r="E544" s="39"/>
      <c r="F544" s="39"/>
      <c r="G544" s="40"/>
      <c r="H544" s="39"/>
      <c r="I544" s="40" t="n">
        <f aca="false">IF(G544="",0,G544*S544)</f>
        <v>0</v>
      </c>
      <c r="J544" s="40"/>
      <c r="K544" s="40" t="n">
        <f aca="false">IF(G544="",0,G544-I544-IF(J544="",0,J544))</f>
        <v>0</v>
      </c>
      <c r="L544" s="40" t="n">
        <f aca="false">IF(O544="",0,IFERROR(INDEX(Purchases!I:I,MATCH(O544*1,Purchases!A:A,0)),0))</f>
        <v>0</v>
      </c>
      <c r="M544" s="40" t="n">
        <f aca="false">IF(G544="",0,K544-L544)</f>
        <v>0</v>
      </c>
      <c r="N544" s="48" t="str">
        <f aca="false">IFERROR(IF(G544="","",M544/G544),"")</f>
        <v/>
      </c>
      <c r="O544" s="39"/>
      <c r="P544" s="39"/>
      <c r="Q544" s="39"/>
      <c r="R544" s="39"/>
      <c r="S544" s="48" t="n">
        <f aca="false">IFERROR(VLOOKUP(H544,Settings!B14:C25,2,FALSE()),0)</f>
        <v>0</v>
      </c>
    </row>
    <row r="545" customFormat="false" ht="15" hidden="false" customHeight="false" outlineLevel="0" collapsed="false">
      <c r="A545" s="41" t="str">
        <f aca="false">IF(B545="","",ROW()-3)</f>
        <v/>
      </c>
      <c r="B545" s="42"/>
      <c r="G545" s="44"/>
      <c r="I545" s="44" t="n">
        <f aca="false">IF(G545="",0,G545*S545)</f>
        <v>0</v>
      </c>
      <c r="J545" s="44"/>
      <c r="K545" s="44" t="n">
        <f aca="false">IF(G545="",0,G545-I545-IF(J545="",0,J545))</f>
        <v>0</v>
      </c>
      <c r="L545" s="44" t="n">
        <f aca="false">IF(O545="",0,IFERROR(INDEX(Purchases!I:I,MATCH(O545*1,Purchases!A:A,0)),0))</f>
        <v>0</v>
      </c>
      <c r="M545" s="44" t="n">
        <f aca="false">IF(G545="",0,K545-L545)</f>
        <v>0</v>
      </c>
      <c r="N545" s="49" t="str">
        <f aca="false">IFERROR(IF(G545="","",M545/G545),"")</f>
        <v/>
      </c>
      <c r="S545" s="49" t="n">
        <f aca="false">IFERROR(VLOOKUP(H545,Settings!B14:C25,2,FALSE()),0)</f>
        <v>0</v>
      </c>
    </row>
    <row r="546" customFormat="false" ht="15" hidden="false" customHeight="false" outlineLevel="0" collapsed="false">
      <c r="A546" s="37" t="str">
        <f aca="false">IF(B546="","",ROW()-3)</f>
        <v/>
      </c>
      <c r="B546" s="38"/>
      <c r="C546" s="39"/>
      <c r="D546" s="39"/>
      <c r="E546" s="39"/>
      <c r="F546" s="39"/>
      <c r="G546" s="40"/>
      <c r="H546" s="39"/>
      <c r="I546" s="40" t="n">
        <f aca="false">IF(G546="",0,G546*S546)</f>
        <v>0</v>
      </c>
      <c r="J546" s="40"/>
      <c r="K546" s="40" t="n">
        <f aca="false">IF(G546="",0,G546-I546-IF(J546="",0,J546))</f>
        <v>0</v>
      </c>
      <c r="L546" s="40" t="n">
        <f aca="false">IF(O546="",0,IFERROR(INDEX(Purchases!I:I,MATCH(O546*1,Purchases!A:A,0)),0))</f>
        <v>0</v>
      </c>
      <c r="M546" s="40" t="n">
        <f aca="false">IF(G546="",0,K546-L546)</f>
        <v>0</v>
      </c>
      <c r="N546" s="48" t="str">
        <f aca="false">IFERROR(IF(G546="","",M546/G546),"")</f>
        <v/>
      </c>
      <c r="O546" s="39"/>
      <c r="P546" s="39"/>
      <c r="Q546" s="39"/>
      <c r="R546" s="39"/>
      <c r="S546" s="48" t="n">
        <f aca="false">IFERROR(VLOOKUP(H546,Settings!B14:C25,2,FALSE()),0)</f>
        <v>0</v>
      </c>
    </row>
    <row r="547" customFormat="false" ht="15" hidden="false" customHeight="false" outlineLevel="0" collapsed="false">
      <c r="A547" s="41" t="str">
        <f aca="false">IF(B547="","",ROW()-3)</f>
        <v/>
      </c>
      <c r="B547" s="42"/>
      <c r="G547" s="44"/>
      <c r="I547" s="44" t="n">
        <f aca="false">IF(G547="",0,G547*S547)</f>
        <v>0</v>
      </c>
      <c r="J547" s="44"/>
      <c r="K547" s="44" t="n">
        <f aca="false">IF(G547="",0,G547-I547-IF(J547="",0,J547))</f>
        <v>0</v>
      </c>
      <c r="L547" s="44" t="n">
        <f aca="false">IF(O547="",0,IFERROR(INDEX(Purchases!I:I,MATCH(O547*1,Purchases!A:A,0)),0))</f>
        <v>0</v>
      </c>
      <c r="M547" s="44" t="n">
        <f aca="false">IF(G547="",0,K547-L547)</f>
        <v>0</v>
      </c>
      <c r="N547" s="49" t="str">
        <f aca="false">IFERROR(IF(G547="","",M547/G547),"")</f>
        <v/>
      </c>
      <c r="S547" s="49" t="n">
        <f aca="false">IFERROR(VLOOKUP(H547,Settings!B14:C25,2,FALSE()),0)</f>
        <v>0</v>
      </c>
    </row>
    <row r="548" customFormat="false" ht="15" hidden="false" customHeight="false" outlineLevel="0" collapsed="false">
      <c r="A548" s="37" t="str">
        <f aca="false">IF(B548="","",ROW()-3)</f>
        <v/>
      </c>
      <c r="B548" s="38"/>
      <c r="C548" s="39"/>
      <c r="D548" s="39"/>
      <c r="E548" s="39"/>
      <c r="F548" s="39"/>
      <c r="G548" s="40"/>
      <c r="H548" s="39"/>
      <c r="I548" s="40" t="n">
        <f aca="false">IF(G548="",0,G548*S548)</f>
        <v>0</v>
      </c>
      <c r="J548" s="40"/>
      <c r="K548" s="40" t="n">
        <f aca="false">IF(G548="",0,G548-I548-IF(J548="",0,J548))</f>
        <v>0</v>
      </c>
      <c r="L548" s="40" t="n">
        <f aca="false">IF(O548="",0,IFERROR(INDEX(Purchases!I:I,MATCH(O548*1,Purchases!A:A,0)),0))</f>
        <v>0</v>
      </c>
      <c r="M548" s="40" t="n">
        <f aca="false">IF(G548="",0,K548-L548)</f>
        <v>0</v>
      </c>
      <c r="N548" s="48" t="str">
        <f aca="false">IFERROR(IF(G548="","",M548/G548),"")</f>
        <v/>
      </c>
      <c r="O548" s="39"/>
      <c r="P548" s="39"/>
      <c r="Q548" s="39"/>
      <c r="R548" s="39"/>
      <c r="S548" s="48" t="n">
        <f aca="false">IFERROR(VLOOKUP(H548,Settings!B14:C25,2,FALSE()),0)</f>
        <v>0</v>
      </c>
    </row>
    <row r="549" customFormat="false" ht="15" hidden="false" customHeight="false" outlineLevel="0" collapsed="false">
      <c r="A549" s="41" t="str">
        <f aca="false">IF(B549="","",ROW()-3)</f>
        <v/>
      </c>
      <c r="B549" s="42"/>
      <c r="G549" s="44"/>
      <c r="I549" s="44" t="n">
        <f aca="false">IF(G549="",0,G549*S549)</f>
        <v>0</v>
      </c>
      <c r="J549" s="44"/>
      <c r="K549" s="44" t="n">
        <f aca="false">IF(G549="",0,G549-I549-IF(J549="",0,J549))</f>
        <v>0</v>
      </c>
      <c r="L549" s="44" t="n">
        <f aca="false">IF(O549="",0,IFERROR(INDEX(Purchases!I:I,MATCH(O549*1,Purchases!A:A,0)),0))</f>
        <v>0</v>
      </c>
      <c r="M549" s="44" t="n">
        <f aca="false">IF(G549="",0,K549-L549)</f>
        <v>0</v>
      </c>
      <c r="N549" s="49" t="str">
        <f aca="false">IFERROR(IF(G549="","",M549/G549),"")</f>
        <v/>
      </c>
      <c r="S549" s="49" t="n">
        <f aca="false">IFERROR(VLOOKUP(H549,Settings!B14:C25,2,FALSE()),0)</f>
        <v>0</v>
      </c>
    </row>
    <row r="550" customFormat="false" ht="15" hidden="false" customHeight="false" outlineLevel="0" collapsed="false">
      <c r="A550" s="37" t="str">
        <f aca="false">IF(B550="","",ROW()-3)</f>
        <v/>
      </c>
      <c r="B550" s="38"/>
      <c r="C550" s="39"/>
      <c r="D550" s="39"/>
      <c r="E550" s="39"/>
      <c r="F550" s="39"/>
      <c r="G550" s="40"/>
      <c r="H550" s="39"/>
      <c r="I550" s="40" t="n">
        <f aca="false">IF(G550="",0,G550*S550)</f>
        <v>0</v>
      </c>
      <c r="J550" s="40"/>
      <c r="K550" s="40" t="n">
        <f aca="false">IF(G550="",0,G550-I550-IF(J550="",0,J550))</f>
        <v>0</v>
      </c>
      <c r="L550" s="40" t="n">
        <f aca="false">IF(O550="",0,IFERROR(INDEX(Purchases!I:I,MATCH(O550*1,Purchases!A:A,0)),0))</f>
        <v>0</v>
      </c>
      <c r="M550" s="40" t="n">
        <f aca="false">IF(G550="",0,K550-L550)</f>
        <v>0</v>
      </c>
      <c r="N550" s="48" t="str">
        <f aca="false">IFERROR(IF(G550="","",M550/G550),"")</f>
        <v/>
      </c>
      <c r="O550" s="39"/>
      <c r="P550" s="39"/>
      <c r="Q550" s="39"/>
      <c r="R550" s="39"/>
      <c r="S550" s="48" t="n">
        <f aca="false">IFERROR(VLOOKUP(H550,Settings!B14:C25,2,FALSE()),0)</f>
        <v>0</v>
      </c>
    </row>
    <row r="551" customFormat="false" ht="15" hidden="false" customHeight="false" outlineLevel="0" collapsed="false">
      <c r="A551" s="41" t="str">
        <f aca="false">IF(B551="","",ROW()-3)</f>
        <v/>
      </c>
      <c r="B551" s="42"/>
      <c r="G551" s="44"/>
      <c r="I551" s="44" t="n">
        <f aca="false">IF(G551="",0,G551*S551)</f>
        <v>0</v>
      </c>
      <c r="J551" s="44"/>
      <c r="K551" s="44" t="n">
        <f aca="false">IF(G551="",0,G551-I551-IF(J551="",0,J551))</f>
        <v>0</v>
      </c>
      <c r="L551" s="44" t="n">
        <f aca="false">IF(O551="",0,IFERROR(INDEX(Purchases!I:I,MATCH(O551*1,Purchases!A:A,0)),0))</f>
        <v>0</v>
      </c>
      <c r="M551" s="44" t="n">
        <f aca="false">IF(G551="",0,K551-L551)</f>
        <v>0</v>
      </c>
      <c r="N551" s="49" t="str">
        <f aca="false">IFERROR(IF(G551="","",M551/G551),"")</f>
        <v/>
      </c>
      <c r="S551" s="49" t="n">
        <f aca="false">IFERROR(VLOOKUP(H551,Settings!B14:C25,2,FALSE()),0)</f>
        <v>0</v>
      </c>
    </row>
    <row r="552" customFormat="false" ht="15" hidden="false" customHeight="false" outlineLevel="0" collapsed="false">
      <c r="A552" s="37" t="str">
        <f aca="false">IF(B552="","",ROW()-3)</f>
        <v/>
      </c>
      <c r="B552" s="38"/>
      <c r="C552" s="39"/>
      <c r="D552" s="39"/>
      <c r="E552" s="39"/>
      <c r="F552" s="39"/>
      <c r="G552" s="40"/>
      <c r="H552" s="39"/>
      <c r="I552" s="40" t="n">
        <f aca="false">IF(G552="",0,G552*S552)</f>
        <v>0</v>
      </c>
      <c r="J552" s="40"/>
      <c r="K552" s="40" t="n">
        <f aca="false">IF(G552="",0,G552-I552-IF(J552="",0,J552))</f>
        <v>0</v>
      </c>
      <c r="L552" s="40" t="n">
        <f aca="false">IF(O552="",0,IFERROR(INDEX(Purchases!I:I,MATCH(O552*1,Purchases!A:A,0)),0))</f>
        <v>0</v>
      </c>
      <c r="M552" s="40" t="n">
        <f aca="false">IF(G552="",0,K552-L552)</f>
        <v>0</v>
      </c>
      <c r="N552" s="48" t="str">
        <f aca="false">IFERROR(IF(G552="","",M552/G552),"")</f>
        <v/>
      </c>
      <c r="O552" s="39"/>
      <c r="P552" s="39"/>
      <c r="Q552" s="39"/>
      <c r="R552" s="39"/>
      <c r="S552" s="48" t="n">
        <f aca="false">IFERROR(VLOOKUP(H552,Settings!B14:C25,2,FALSE()),0)</f>
        <v>0</v>
      </c>
    </row>
    <row r="553" customFormat="false" ht="15" hidden="false" customHeight="false" outlineLevel="0" collapsed="false">
      <c r="A553" s="41" t="str">
        <f aca="false">IF(B553="","",ROW()-3)</f>
        <v/>
      </c>
      <c r="B553" s="42"/>
      <c r="G553" s="44"/>
      <c r="I553" s="44" t="n">
        <f aca="false">IF(G553="",0,G553*S553)</f>
        <v>0</v>
      </c>
      <c r="J553" s="44"/>
      <c r="K553" s="44" t="n">
        <f aca="false">IF(G553="",0,G553-I553-IF(J553="",0,J553))</f>
        <v>0</v>
      </c>
      <c r="L553" s="44" t="n">
        <f aca="false">IF(O553="",0,IFERROR(INDEX(Purchases!I:I,MATCH(O553*1,Purchases!A:A,0)),0))</f>
        <v>0</v>
      </c>
      <c r="M553" s="44" t="n">
        <f aca="false">IF(G553="",0,K553-L553)</f>
        <v>0</v>
      </c>
      <c r="N553" s="49" t="str">
        <f aca="false">IFERROR(IF(G553="","",M553/G553),"")</f>
        <v/>
      </c>
      <c r="S553" s="49" t="n">
        <f aca="false">IFERROR(VLOOKUP(H553,Settings!B14:C25,2,FALSE()),0)</f>
        <v>0</v>
      </c>
    </row>
    <row r="554" customFormat="false" ht="15" hidden="false" customHeight="false" outlineLevel="0" collapsed="false">
      <c r="A554" s="37" t="str">
        <f aca="false">IF(B554="","",ROW()-3)</f>
        <v/>
      </c>
      <c r="B554" s="38"/>
      <c r="C554" s="39"/>
      <c r="D554" s="39"/>
      <c r="E554" s="39"/>
      <c r="F554" s="39"/>
      <c r="G554" s="40"/>
      <c r="H554" s="39"/>
      <c r="I554" s="40" t="n">
        <f aca="false">IF(G554="",0,G554*S554)</f>
        <v>0</v>
      </c>
      <c r="J554" s="40"/>
      <c r="K554" s="40" t="n">
        <f aca="false">IF(G554="",0,G554-I554-IF(J554="",0,J554))</f>
        <v>0</v>
      </c>
      <c r="L554" s="40" t="n">
        <f aca="false">IF(O554="",0,IFERROR(INDEX(Purchases!I:I,MATCH(O554*1,Purchases!A:A,0)),0))</f>
        <v>0</v>
      </c>
      <c r="M554" s="40" t="n">
        <f aca="false">IF(G554="",0,K554-L554)</f>
        <v>0</v>
      </c>
      <c r="N554" s="48" t="str">
        <f aca="false">IFERROR(IF(G554="","",M554/G554),"")</f>
        <v/>
      </c>
      <c r="O554" s="39"/>
      <c r="P554" s="39"/>
      <c r="Q554" s="39"/>
      <c r="R554" s="39"/>
      <c r="S554" s="48" t="n">
        <f aca="false">IFERROR(VLOOKUP(H554,Settings!B14:C25,2,FALSE()),0)</f>
        <v>0</v>
      </c>
    </row>
    <row r="555" customFormat="false" ht="15" hidden="false" customHeight="false" outlineLevel="0" collapsed="false">
      <c r="A555" s="41" t="str">
        <f aca="false">IF(B555="","",ROW()-3)</f>
        <v/>
      </c>
      <c r="B555" s="42"/>
      <c r="G555" s="44"/>
      <c r="I555" s="44" t="n">
        <f aca="false">IF(G555="",0,G555*S555)</f>
        <v>0</v>
      </c>
      <c r="J555" s="44"/>
      <c r="K555" s="44" t="n">
        <f aca="false">IF(G555="",0,G555-I555-IF(J555="",0,J555))</f>
        <v>0</v>
      </c>
      <c r="L555" s="44" t="n">
        <f aca="false">IF(O555="",0,IFERROR(INDEX(Purchases!I:I,MATCH(O555*1,Purchases!A:A,0)),0))</f>
        <v>0</v>
      </c>
      <c r="M555" s="44" t="n">
        <f aca="false">IF(G555="",0,K555-L555)</f>
        <v>0</v>
      </c>
      <c r="N555" s="49" t="str">
        <f aca="false">IFERROR(IF(G555="","",M555/G555),"")</f>
        <v/>
      </c>
      <c r="S555" s="49" t="n">
        <f aca="false">IFERROR(VLOOKUP(H555,Settings!B14:C25,2,FALSE()),0)</f>
        <v>0</v>
      </c>
    </row>
    <row r="556" customFormat="false" ht="15" hidden="false" customHeight="false" outlineLevel="0" collapsed="false">
      <c r="A556" s="37" t="str">
        <f aca="false">IF(B556="","",ROW()-3)</f>
        <v/>
      </c>
      <c r="B556" s="38"/>
      <c r="C556" s="39"/>
      <c r="D556" s="39"/>
      <c r="E556" s="39"/>
      <c r="F556" s="39"/>
      <c r="G556" s="40"/>
      <c r="H556" s="39"/>
      <c r="I556" s="40" t="n">
        <f aca="false">IF(G556="",0,G556*S556)</f>
        <v>0</v>
      </c>
      <c r="J556" s="40"/>
      <c r="K556" s="40" t="n">
        <f aca="false">IF(G556="",0,G556-I556-IF(J556="",0,J556))</f>
        <v>0</v>
      </c>
      <c r="L556" s="40" t="n">
        <f aca="false">IF(O556="",0,IFERROR(INDEX(Purchases!I:I,MATCH(O556*1,Purchases!A:A,0)),0))</f>
        <v>0</v>
      </c>
      <c r="M556" s="40" t="n">
        <f aca="false">IF(G556="",0,K556-L556)</f>
        <v>0</v>
      </c>
      <c r="N556" s="48" t="str">
        <f aca="false">IFERROR(IF(G556="","",M556/G556),"")</f>
        <v/>
      </c>
      <c r="O556" s="39"/>
      <c r="P556" s="39"/>
      <c r="Q556" s="39"/>
      <c r="R556" s="39"/>
      <c r="S556" s="48" t="n">
        <f aca="false">IFERROR(VLOOKUP(H556,Settings!B14:C25,2,FALSE()),0)</f>
        <v>0</v>
      </c>
    </row>
    <row r="557" customFormat="false" ht="15" hidden="false" customHeight="false" outlineLevel="0" collapsed="false">
      <c r="A557" s="41" t="str">
        <f aca="false">IF(B557="","",ROW()-3)</f>
        <v/>
      </c>
      <c r="B557" s="42"/>
      <c r="G557" s="44"/>
      <c r="I557" s="44" t="n">
        <f aca="false">IF(G557="",0,G557*S557)</f>
        <v>0</v>
      </c>
      <c r="J557" s="44"/>
      <c r="K557" s="44" t="n">
        <f aca="false">IF(G557="",0,G557-I557-IF(J557="",0,J557))</f>
        <v>0</v>
      </c>
      <c r="L557" s="44" t="n">
        <f aca="false">IF(O557="",0,IFERROR(INDEX(Purchases!I:I,MATCH(O557*1,Purchases!A:A,0)),0))</f>
        <v>0</v>
      </c>
      <c r="M557" s="44" t="n">
        <f aca="false">IF(G557="",0,K557-L557)</f>
        <v>0</v>
      </c>
      <c r="N557" s="49" t="str">
        <f aca="false">IFERROR(IF(G557="","",M557/G557),"")</f>
        <v/>
      </c>
      <c r="S557" s="49" t="n">
        <f aca="false">IFERROR(VLOOKUP(H557,Settings!B14:C25,2,FALSE()),0)</f>
        <v>0</v>
      </c>
    </row>
    <row r="558" customFormat="false" ht="15" hidden="false" customHeight="false" outlineLevel="0" collapsed="false">
      <c r="A558" s="37" t="str">
        <f aca="false">IF(B558="","",ROW()-3)</f>
        <v/>
      </c>
      <c r="B558" s="38"/>
      <c r="C558" s="39"/>
      <c r="D558" s="39"/>
      <c r="E558" s="39"/>
      <c r="F558" s="39"/>
      <c r="G558" s="40"/>
      <c r="H558" s="39"/>
      <c r="I558" s="40" t="n">
        <f aca="false">IF(G558="",0,G558*S558)</f>
        <v>0</v>
      </c>
      <c r="J558" s="40"/>
      <c r="K558" s="40" t="n">
        <f aca="false">IF(G558="",0,G558-I558-IF(J558="",0,J558))</f>
        <v>0</v>
      </c>
      <c r="L558" s="40" t="n">
        <f aca="false">IF(O558="",0,IFERROR(INDEX(Purchases!I:I,MATCH(O558*1,Purchases!A:A,0)),0))</f>
        <v>0</v>
      </c>
      <c r="M558" s="40" t="n">
        <f aca="false">IF(G558="",0,K558-L558)</f>
        <v>0</v>
      </c>
      <c r="N558" s="48" t="str">
        <f aca="false">IFERROR(IF(G558="","",M558/G558),"")</f>
        <v/>
      </c>
      <c r="O558" s="39"/>
      <c r="P558" s="39"/>
      <c r="Q558" s="39"/>
      <c r="R558" s="39"/>
      <c r="S558" s="48" t="n">
        <f aca="false">IFERROR(VLOOKUP(H558,Settings!B14:C25,2,FALSE()),0)</f>
        <v>0</v>
      </c>
    </row>
    <row r="559" customFormat="false" ht="15" hidden="false" customHeight="false" outlineLevel="0" collapsed="false">
      <c r="A559" s="41" t="str">
        <f aca="false">IF(B559="","",ROW()-3)</f>
        <v/>
      </c>
      <c r="B559" s="42"/>
      <c r="G559" s="44"/>
      <c r="I559" s="44" t="n">
        <f aca="false">IF(G559="",0,G559*S559)</f>
        <v>0</v>
      </c>
      <c r="J559" s="44"/>
      <c r="K559" s="44" t="n">
        <f aca="false">IF(G559="",0,G559-I559-IF(J559="",0,J559))</f>
        <v>0</v>
      </c>
      <c r="L559" s="44" t="n">
        <f aca="false">IF(O559="",0,IFERROR(INDEX(Purchases!I:I,MATCH(O559*1,Purchases!A:A,0)),0))</f>
        <v>0</v>
      </c>
      <c r="M559" s="44" t="n">
        <f aca="false">IF(G559="",0,K559-L559)</f>
        <v>0</v>
      </c>
      <c r="N559" s="49" t="str">
        <f aca="false">IFERROR(IF(G559="","",M559/G559),"")</f>
        <v/>
      </c>
      <c r="S559" s="49" t="n">
        <f aca="false">IFERROR(VLOOKUP(H559,Settings!B14:C25,2,FALSE()),0)</f>
        <v>0</v>
      </c>
    </row>
    <row r="560" customFormat="false" ht="15" hidden="false" customHeight="false" outlineLevel="0" collapsed="false">
      <c r="A560" s="37" t="str">
        <f aca="false">IF(B560="","",ROW()-3)</f>
        <v/>
      </c>
      <c r="B560" s="38"/>
      <c r="C560" s="39"/>
      <c r="D560" s="39"/>
      <c r="E560" s="39"/>
      <c r="F560" s="39"/>
      <c r="G560" s="40"/>
      <c r="H560" s="39"/>
      <c r="I560" s="40" t="n">
        <f aca="false">IF(G560="",0,G560*S560)</f>
        <v>0</v>
      </c>
      <c r="J560" s="40"/>
      <c r="K560" s="40" t="n">
        <f aca="false">IF(G560="",0,G560-I560-IF(J560="",0,J560))</f>
        <v>0</v>
      </c>
      <c r="L560" s="40" t="n">
        <f aca="false">IF(O560="",0,IFERROR(INDEX(Purchases!I:I,MATCH(O560*1,Purchases!A:A,0)),0))</f>
        <v>0</v>
      </c>
      <c r="M560" s="40" t="n">
        <f aca="false">IF(G560="",0,K560-L560)</f>
        <v>0</v>
      </c>
      <c r="N560" s="48" t="str">
        <f aca="false">IFERROR(IF(G560="","",M560/G560),"")</f>
        <v/>
      </c>
      <c r="O560" s="39"/>
      <c r="P560" s="39"/>
      <c r="Q560" s="39"/>
      <c r="R560" s="39"/>
      <c r="S560" s="48" t="n">
        <f aca="false">IFERROR(VLOOKUP(H560,Settings!B14:C25,2,FALSE()),0)</f>
        <v>0</v>
      </c>
    </row>
    <row r="561" customFormat="false" ht="15" hidden="false" customHeight="false" outlineLevel="0" collapsed="false">
      <c r="A561" s="41" t="str">
        <f aca="false">IF(B561="","",ROW()-3)</f>
        <v/>
      </c>
      <c r="B561" s="42"/>
      <c r="G561" s="44"/>
      <c r="I561" s="44" t="n">
        <f aca="false">IF(G561="",0,G561*S561)</f>
        <v>0</v>
      </c>
      <c r="J561" s="44"/>
      <c r="K561" s="44" t="n">
        <f aca="false">IF(G561="",0,G561-I561-IF(J561="",0,J561))</f>
        <v>0</v>
      </c>
      <c r="L561" s="44" t="n">
        <f aca="false">IF(O561="",0,IFERROR(INDEX(Purchases!I:I,MATCH(O561*1,Purchases!A:A,0)),0))</f>
        <v>0</v>
      </c>
      <c r="M561" s="44" t="n">
        <f aca="false">IF(G561="",0,K561-L561)</f>
        <v>0</v>
      </c>
      <c r="N561" s="49" t="str">
        <f aca="false">IFERROR(IF(G561="","",M561/G561),"")</f>
        <v/>
      </c>
      <c r="S561" s="49" t="n">
        <f aca="false">IFERROR(VLOOKUP(H561,Settings!B14:C25,2,FALSE()),0)</f>
        <v>0</v>
      </c>
    </row>
    <row r="562" customFormat="false" ht="15" hidden="false" customHeight="false" outlineLevel="0" collapsed="false">
      <c r="A562" s="37" t="str">
        <f aca="false">IF(B562="","",ROW()-3)</f>
        <v/>
      </c>
      <c r="B562" s="38"/>
      <c r="C562" s="39"/>
      <c r="D562" s="39"/>
      <c r="E562" s="39"/>
      <c r="F562" s="39"/>
      <c r="G562" s="40"/>
      <c r="H562" s="39"/>
      <c r="I562" s="40" t="n">
        <f aca="false">IF(G562="",0,G562*S562)</f>
        <v>0</v>
      </c>
      <c r="J562" s="40"/>
      <c r="K562" s="40" t="n">
        <f aca="false">IF(G562="",0,G562-I562-IF(J562="",0,J562))</f>
        <v>0</v>
      </c>
      <c r="L562" s="40" t="n">
        <f aca="false">IF(O562="",0,IFERROR(INDEX(Purchases!I:I,MATCH(O562*1,Purchases!A:A,0)),0))</f>
        <v>0</v>
      </c>
      <c r="M562" s="40" t="n">
        <f aca="false">IF(G562="",0,K562-L562)</f>
        <v>0</v>
      </c>
      <c r="N562" s="48" t="str">
        <f aca="false">IFERROR(IF(G562="","",M562/G562),"")</f>
        <v/>
      </c>
      <c r="O562" s="39"/>
      <c r="P562" s="39"/>
      <c r="Q562" s="39"/>
      <c r="R562" s="39"/>
      <c r="S562" s="48" t="n">
        <f aca="false">IFERROR(VLOOKUP(H562,Settings!B14:C25,2,FALSE()),0)</f>
        <v>0</v>
      </c>
    </row>
    <row r="563" customFormat="false" ht="15" hidden="false" customHeight="false" outlineLevel="0" collapsed="false">
      <c r="A563" s="41" t="str">
        <f aca="false">IF(B563="","",ROW()-3)</f>
        <v/>
      </c>
      <c r="B563" s="42"/>
      <c r="G563" s="44"/>
      <c r="I563" s="44" t="n">
        <f aca="false">IF(G563="",0,G563*S563)</f>
        <v>0</v>
      </c>
      <c r="J563" s="44"/>
      <c r="K563" s="44" t="n">
        <f aca="false">IF(G563="",0,G563-I563-IF(J563="",0,J563))</f>
        <v>0</v>
      </c>
      <c r="L563" s="44" t="n">
        <f aca="false">IF(O563="",0,IFERROR(INDEX(Purchases!I:I,MATCH(O563*1,Purchases!A:A,0)),0))</f>
        <v>0</v>
      </c>
      <c r="M563" s="44" t="n">
        <f aca="false">IF(G563="",0,K563-L563)</f>
        <v>0</v>
      </c>
      <c r="N563" s="49" t="str">
        <f aca="false">IFERROR(IF(G563="","",M563/G563),"")</f>
        <v/>
      </c>
      <c r="S563" s="49" t="n">
        <f aca="false">IFERROR(VLOOKUP(H563,Settings!B14:C25,2,FALSE()),0)</f>
        <v>0</v>
      </c>
    </row>
    <row r="564" customFormat="false" ht="15" hidden="false" customHeight="false" outlineLevel="0" collapsed="false">
      <c r="A564" s="37" t="str">
        <f aca="false">IF(B564="","",ROW()-3)</f>
        <v/>
      </c>
      <c r="B564" s="38"/>
      <c r="C564" s="39"/>
      <c r="D564" s="39"/>
      <c r="E564" s="39"/>
      <c r="F564" s="39"/>
      <c r="G564" s="40"/>
      <c r="H564" s="39"/>
      <c r="I564" s="40" t="n">
        <f aca="false">IF(G564="",0,G564*S564)</f>
        <v>0</v>
      </c>
      <c r="J564" s="40"/>
      <c r="K564" s="40" t="n">
        <f aca="false">IF(G564="",0,G564-I564-IF(J564="",0,J564))</f>
        <v>0</v>
      </c>
      <c r="L564" s="40" t="n">
        <f aca="false">IF(O564="",0,IFERROR(INDEX(Purchases!I:I,MATCH(O564*1,Purchases!A:A,0)),0))</f>
        <v>0</v>
      </c>
      <c r="M564" s="40" t="n">
        <f aca="false">IF(G564="",0,K564-L564)</f>
        <v>0</v>
      </c>
      <c r="N564" s="48" t="str">
        <f aca="false">IFERROR(IF(G564="","",M564/G564),"")</f>
        <v/>
      </c>
      <c r="O564" s="39"/>
      <c r="P564" s="39"/>
      <c r="Q564" s="39"/>
      <c r="R564" s="39"/>
      <c r="S564" s="48" t="n">
        <f aca="false">IFERROR(VLOOKUP(H564,Settings!B14:C25,2,FALSE()),0)</f>
        <v>0</v>
      </c>
    </row>
    <row r="565" customFormat="false" ht="15" hidden="false" customHeight="false" outlineLevel="0" collapsed="false">
      <c r="A565" s="41" t="str">
        <f aca="false">IF(B565="","",ROW()-3)</f>
        <v/>
      </c>
      <c r="B565" s="42"/>
      <c r="G565" s="44"/>
      <c r="I565" s="44" t="n">
        <f aca="false">IF(G565="",0,G565*S565)</f>
        <v>0</v>
      </c>
      <c r="J565" s="44"/>
      <c r="K565" s="44" t="n">
        <f aca="false">IF(G565="",0,G565-I565-IF(J565="",0,J565))</f>
        <v>0</v>
      </c>
      <c r="L565" s="44" t="n">
        <f aca="false">IF(O565="",0,IFERROR(INDEX(Purchases!I:I,MATCH(O565*1,Purchases!A:A,0)),0))</f>
        <v>0</v>
      </c>
      <c r="M565" s="44" t="n">
        <f aca="false">IF(G565="",0,K565-L565)</f>
        <v>0</v>
      </c>
      <c r="N565" s="49" t="str">
        <f aca="false">IFERROR(IF(G565="","",M565/G565),"")</f>
        <v/>
      </c>
      <c r="S565" s="49" t="n">
        <f aca="false">IFERROR(VLOOKUP(H565,Settings!B14:C25,2,FALSE()),0)</f>
        <v>0</v>
      </c>
    </row>
    <row r="566" customFormat="false" ht="15" hidden="false" customHeight="false" outlineLevel="0" collapsed="false">
      <c r="A566" s="37" t="str">
        <f aca="false">IF(B566="","",ROW()-3)</f>
        <v/>
      </c>
      <c r="B566" s="38"/>
      <c r="C566" s="39"/>
      <c r="D566" s="39"/>
      <c r="E566" s="39"/>
      <c r="F566" s="39"/>
      <c r="G566" s="40"/>
      <c r="H566" s="39"/>
      <c r="I566" s="40" t="n">
        <f aca="false">IF(G566="",0,G566*S566)</f>
        <v>0</v>
      </c>
      <c r="J566" s="40"/>
      <c r="K566" s="40" t="n">
        <f aca="false">IF(G566="",0,G566-I566-IF(J566="",0,J566))</f>
        <v>0</v>
      </c>
      <c r="L566" s="40" t="n">
        <f aca="false">IF(O566="",0,IFERROR(INDEX(Purchases!I:I,MATCH(O566*1,Purchases!A:A,0)),0))</f>
        <v>0</v>
      </c>
      <c r="M566" s="40" t="n">
        <f aca="false">IF(G566="",0,K566-L566)</f>
        <v>0</v>
      </c>
      <c r="N566" s="48" t="str">
        <f aca="false">IFERROR(IF(G566="","",M566/G566),"")</f>
        <v/>
      </c>
      <c r="O566" s="39"/>
      <c r="P566" s="39"/>
      <c r="Q566" s="39"/>
      <c r="R566" s="39"/>
      <c r="S566" s="48" t="n">
        <f aca="false">IFERROR(VLOOKUP(H566,Settings!B14:C25,2,FALSE()),0)</f>
        <v>0</v>
      </c>
    </row>
    <row r="567" customFormat="false" ht="15" hidden="false" customHeight="false" outlineLevel="0" collapsed="false">
      <c r="A567" s="41" t="str">
        <f aca="false">IF(B567="","",ROW()-3)</f>
        <v/>
      </c>
      <c r="B567" s="42"/>
      <c r="G567" s="44"/>
      <c r="I567" s="44" t="n">
        <f aca="false">IF(G567="",0,G567*S567)</f>
        <v>0</v>
      </c>
      <c r="J567" s="44"/>
      <c r="K567" s="44" t="n">
        <f aca="false">IF(G567="",0,G567-I567-IF(J567="",0,J567))</f>
        <v>0</v>
      </c>
      <c r="L567" s="44" t="n">
        <f aca="false">IF(O567="",0,IFERROR(INDEX(Purchases!I:I,MATCH(O567*1,Purchases!A:A,0)),0))</f>
        <v>0</v>
      </c>
      <c r="M567" s="44" t="n">
        <f aca="false">IF(G567="",0,K567-L567)</f>
        <v>0</v>
      </c>
      <c r="N567" s="49" t="str">
        <f aca="false">IFERROR(IF(G567="","",M567/G567),"")</f>
        <v/>
      </c>
      <c r="S567" s="49" t="n">
        <f aca="false">IFERROR(VLOOKUP(H567,Settings!B14:C25,2,FALSE()),0)</f>
        <v>0</v>
      </c>
    </row>
    <row r="568" customFormat="false" ht="15" hidden="false" customHeight="false" outlineLevel="0" collapsed="false">
      <c r="A568" s="37" t="str">
        <f aca="false">IF(B568="","",ROW()-3)</f>
        <v/>
      </c>
      <c r="B568" s="38"/>
      <c r="C568" s="39"/>
      <c r="D568" s="39"/>
      <c r="E568" s="39"/>
      <c r="F568" s="39"/>
      <c r="G568" s="40"/>
      <c r="H568" s="39"/>
      <c r="I568" s="40" t="n">
        <f aca="false">IF(G568="",0,G568*S568)</f>
        <v>0</v>
      </c>
      <c r="J568" s="40"/>
      <c r="K568" s="40" t="n">
        <f aca="false">IF(G568="",0,G568-I568-IF(J568="",0,J568))</f>
        <v>0</v>
      </c>
      <c r="L568" s="40" t="n">
        <f aca="false">IF(O568="",0,IFERROR(INDEX(Purchases!I:I,MATCH(O568*1,Purchases!A:A,0)),0))</f>
        <v>0</v>
      </c>
      <c r="M568" s="40" t="n">
        <f aca="false">IF(G568="",0,K568-L568)</f>
        <v>0</v>
      </c>
      <c r="N568" s="48" t="str">
        <f aca="false">IFERROR(IF(G568="","",M568/G568),"")</f>
        <v/>
      </c>
      <c r="O568" s="39"/>
      <c r="P568" s="39"/>
      <c r="Q568" s="39"/>
      <c r="R568" s="39"/>
      <c r="S568" s="48" t="n">
        <f aca="false">IFERROR(VLOOKUP(H568,Settings!B14:C25,2,FALSE()),0)</f>
        <v>0</v>
      </c>
    </row>
    <row r="569" customFormat="false" ht="15" hidden="false" customHeight="false" outlineLevel="0" collapsed="false">
      <c r="A569" s="41" t="str">
        <f aca="false">IF(B569="","",ROW()-3)</f>
        <v/>
      </c>
      <c r="B569" s="42"/>
      <c r="G569" s="44"/>
      <c r="I569" s="44" t="n">
        <f aca="false">IF(G569="",0,G569*S569)</f>
        <v>0</v>
      </c>
      <c r="J569" s="44"/>
      <c r="K569" s="44" t="n">
        <f aca="false">IF(G569="",0,G569-I569-IF(J569="",0,J569))</f>
        <v>0</v>
      </c>
      <c r="L569" s="44" t="n">
        <f aca="false">IF(O569="",0,IFERROR(INDEX(Purchases!I:I,MATCH(O569*1,Purchases!A:A,0)),0))</f>
        <v>0</v>
      </c>
      <c r="M569" s="44" t="n">
        <f aca="false">IF(G569="",0,K569-L569)</f>
        <v>0</v>
      </c>
      <c r="N569" s="49" t="str">
        <f aca="false">IFERROR(IF(G569="","",M569/G569),"")</f>
        <v/>
      </c>
      <c r="S569" s="49" t="n">
        <f aca="false">IFERROR(VLOOKUP(H569,Settings!B14:C25,2,FALSE()),0)</f>
        <v>0</v>
      </c>
    </row>
    <row r="570" customFormat="false" ht="15" hidden="false" customHeight="false" outlineLevel="0" collapsed="false">
      <c r="A570" s="37" t="str">
        <f aca="false">IF(B570="","",ROW()-3)</f>
        <v/>
      </c>
      <c r="B570" s="38"/>
      <c r="C570" s="39"/>
      <c r="D570" s="39"/>
      <c r="E570" s="39"/>
      <c r="F570" s="39"/>
      <c r="G570" s="40"/>
      <c r="H570" s="39"/>
      <c r="I570" s="40" t="n">
        <f aca="false">IF(G570="",0,G570*S570)</f>
        <v>0</v>
      </c>
      <c r="J570" s="40"/>
      <c r="K570" s="40" t="n">
        <f aca="false">IF(G570="",0,G570-I570-IF(J570="",0,J570))</f>
        <v>0</v>
      </c>
      <c r="L570" s="40" t="n">
        <f aca="false">IF(O570="",0,IFERROR(INDEX(Purchases!I:I,MATCH(O570*1,Purchases!A:A,0)),0))</f>
        <v>0</v>
      </c>
      <c r="M570" s="40" t="n">
        <f aca="false">IF(G570="",0,K570-L570)</f>
        <v>0</v>
      </c>
      <c r="N570" s="48" t="str">
        <f aca="false">IFERROR(IF(G570="","",M570/G570),"")</f>
        <v/>
      </c>
      <c r="O570" s="39"/>
      <c r="P570" s="39"/>
      <c r="Q570" s="39"/>
      <c r="R570" s="39"/>
      <c r="S570" s="48" t="n">
        <f aca="false">IFERROR(VLOOKUP(H570,Settings!B14:C25,2,FALSE()),0)</f>
        <v>0</v>
      </c>
    </row>
    <row r="571" customFormat="false" ht="15" hidden="false" customHeight="false" outlineLevel="0" collapsed="false">
      <c r="A571" s="41" t="str">
        <f aca="false">IF(B571="","",ROW()-3)</f>
        <v/>
      </c>
      <c r="B571" s="42"/>
      <c r="G571" s="44"/>
      <c r="I571" s="44" t="n">
        <f aca="false">IF(G571="",0,G571*S571)</f>
        <v>0</v>
      </c>
      <c r="J571" s="44"/>
      <c r="K571" s="44" t="n">
        <f aca="false">IF(G571="",0,G571-I571-IF(J571="",0,J571))</f>
        <v>0</v>
      </c>
      <c r="L571" s="44" t="n">
        <f aca="false">IF(O571="",0,IFERROR(INDEX(Purchases!I:I,MATCH(O571*1,Purchases!A:A,0)),0))</f>
        <v>0</v>
      </c>
      <c r="M571" s="44" t="n">
        <f aca="false">IF(G571="",0,K571-L571)</f>
        <v>0</v>
      </c>
      <c r="N571" s="49" t="str">
        <f aca="false">IFERROR(IF(G571="","",M571/G571),"")</f>
        <v/>
      </c>
      <c r="S571" s="49" t="n">
        <f aca="false">IFERROR(VLOOKUP(H571,Settings!B14:C25,2,FALSE()),0)</f>
        <v>0</v>
      </c>
    </row>
    <row r="572" customFormat="false" ht="15" hidden="false" customHeight="false" outlineLevel="0" collapsed="false">
      <c r="A572" s="37" t="str">
        <f aca="false">IF(B572="","",ROW()-3)</f>
        <v/>
      </c>
      <c r="B572" s="38"/>
      <c r="C572" s="39"/>
      <c r="D572" s="39"/>
      <c r="E572" s="39"/>
      <c r="F572" s="39"/>
      <c r="G572" s="40"/>
      <c r="H572" s="39"/>
      <c r="I572" s="40" t="n">
        <f aca="false">IF(G572="",0,G572*S572)</f>
        <v>0</v>
      </c>
      <c r="J572" s="40"/>
      <c r="K572" s="40" t="n">
        <f aca="false">IF(G572="",0,G572-I572-IF(J572="",0,J572))</f>
        <v>0</v>
      </c>
      <c r="L572" s="40" t="n">
        <f aca="false">IF(O572="",0,IFERROR(INDEX(Purchases!I:I,MATCH(O572*1,Purchases!A:A,0)),0))</f>
        <v>0</v>
      </c>
      <c r="M572" s="40" t="n">
        <f aca="false">IF(G572="",0,K572-L572)</f>
        <v>0</v>
      </c>
      <c r="N572" s="48" t="str">
        <f aca="false">IFERROR(IF(G572="","",M572/G572),"")</f>
        <v/>
      </c>
      <c r="O572" s="39"/>
      <c r="P572" s="39"/>
      <c r="Q572" s="39"/>
      <c r="R572" s="39"/>
      <c r="S572" s="48" t="n">
        <f aca="false">IFERROR(VLOOKUP(H572,Settings!B14:C25,2,FALSE()),0)</f>
        <v>0</v>
      </c>
    </row>
    <row r="573" customFormat="false" ht="15" hidden="false" customHeight="false" outlineLevel="0" collapsed="false">
      <c r="A573" s="41" t="str">
        <f aca="false">IF(B573="","",ROW()-3)</f>
        <v/>
      </c>
      <c r="B573" s="42"/>
      <c r="G573" s="44"/>
      <c r="I573" s="44" t="n">
        <f aca="false">IF(G573="",0,G573*S573)</f>
        <v>0</v>
      </c>
      <c r="J573" s="44"/>
      <c r="K573" s="44" t="n">
        <f aca="false">IF(G573="",0,G573-I573-IF(J573="",0,J573))</f>
        <v>0</v>
      </c>
      <c r="L573" s="44" t="n">
        <f aca="false">IF(O573="",0,IFERROR(INDEX(Purchases!I:I,MATCH(O573*1,Purchases!A:A,0)),0))</f>
        <v>0</v>
      </c>
      <c r="M573" s="44" t="n">
        <f aca="false">IF(G573="",0,K573-L573)</f>
        <v>0</v>
      </c>
      <c r="N573" s="49" t="str">
        <f aca="false">IFERROR(IF(G573="","",M573/G573),"")</f>
        <v/>
      </c>
      <c r="S573" s="49" t="n">
        <f aca="false">IFERROR(VLOOKUP(H573,Settings!B14:C25,2,FALSE()),0)</f>
        <v>0</v>
      </c>
    </row>
    <row r="574" customFormat="false" ht="15" hidden="false" customHeight="false" outlineLevel="0" collapsed="false">
      <c r="A574" s="37" t="str">
        <f aca="false">IF(B574="","",ROW()-3)</f>
        <v/>
      </c>
      <c r="B574" s="38"/>
      <c r="C574" s="39"/>
      <c r="D574" s="39"/>
      <c r="E574" s="39"/>
      <c r="F574" s="39"/>
      <c r="G574" s="40"/>
      <c r="H574" s="39"/>
      <c r="I574" s="40" t="n">
        <f aca="false">IF(G574="",0,G574*S574)</f>
        <v>0</v>
      </c>
      <c r="J574" s="40"/>
      <c r="K574" s="40" t="n">
        <f aca="false">IF(G574="",0,G574-I574-IF(J574="",0,J574))</f>
        <v>0</v>
      </c>
      <c r="L574" s="40" t="n">
        <f aca="false">IF(O574="",0,IFERROR(INDEX(Purchases!I:I,MATCH(O574*1,Purchases!A:A,0)),0))</f>
        <v>0</v>
      </c>
      <c r="M574" s="40" t="n">
        <f aca="false">IF(G574="",0,K574-L574)</f>
        <v>0</v>
      </c>
      <c r="N574" s="48" t="str">
        <f aca="false">IFERROR(IF(G574="","",M574/G574),"")</f>
        <v/>
      </c>
      <c r="O574" s="39"/>
      <c r="P574" s="39"/>
      <c r="Q574" s="39"/>
      <c r="R574" s="39"/>
      <c r="S574" s="48" t="n">
        <f aca="false">IFERROR(VLOOKUP(H574,Settings!B14:C25,2,FALSE()),0)</f>
        <v>0</v>
      </c>
    </row>
    <row r="575" customFormat="false" ht="15" hidden="false" customHeight="false" outlineLevel="0" collapsed="false">
      <c r="A575" s="41" t="str">
        <f aca="false">IF(B575="","",ROW()-3)</f>
        <v/>
      </c>
      <c r="B575" s="42"/>
      <c r="G575" s="44"/>
      <c r="I575" s="44" t="n">
        <f aca="false">IF(G575="",0,G575*S575)</f>
        <v>0</v>
      </c>
      <c r="J575" s="44"/>
      <c r="K575" s="44" t="n">
        <f aca="false">IF(G575="",0,G575-I575-IF(J575="",0,J575))</f>
        <v>0</v>
      </c>
      <c r="L575" s="44" t="n">
        <f aca="false">IF(O575="",0,IFERROR(INDEX(Purchases!I:I,MATCH(O575*1,Purchases!A:A,0)),0))</f>
        <v>0</v>
      </c>
      <c r="M575" s="44" t="n">
        <f aca="false">IF(G575="",0,K575-L575)</f>
        <v>0</v>
      </c>
      <c r="N575" s="49" t="str">
        <f aca="false">IFERROR(IF(G575="","",M575/G575),"")</f>
        <v/>
      </c>
      <c r="S575" s="49" t="n">
        <f aca="false">IFERROR(VLOOKUP(H575,Settings!B14:C25,2,FALSE()),0)</f>
        <v>0</v>
      </c>
    </row>
    <row r="576" customFormat="false" ht="15" hidden="false" customHeight="false" outlineLevel="0" collapsed="false">
      <c r="A576" s="37" t="str">
        <f aca="false">IF(B576="","",ROW()-3)</f>
        <v/>
      </c>
      <c r="B576" s="38"/>
      <c r="C576" s="39"/>
      <c r="D576" s="39"/>
      <c r="E576" s="39"/>
      <c r="F576" s="39"/>
      <c r="G576" s="40"/>
      <c r="H576" s="39"/>
      <c r="I576" s="40" t="n">
        <f aca="false">IF(G576="",0,G576*S576)</f>
        <v>0</v>
      </c>
      <c r="J576" s="40"/>
      <c r="K576" s="40" t="n">
        <f aca="false">IF(G576="",0,G576-I576-IF(J576="",0,J576))</f>
        <v>0</v>
      </c>
      <c r="L576" s="40" t="n">
        <f aca="false">IF(O576="",0,IFERROR(INDEX(Purchases!I:I,MATCH(O576*1,Purchases!A:A,0)),0))</f>
        <v>0</v>
      </c>
      <c r="M576" s="40" t="n">
        <f aca="false">IF(G576="",0,K576-L576)</f>
        <v>0</v>
      </c>
      <c r="N576" s="48" t="str">
        <f aca="false">IFERROR(IF(G576="","",M576/G576),"")</f>
        <v/>
      </c>
      <c r="O576" s="39"/>
      <c r="P576" s="39"/>
      <c r="Q576" s="39"/>
      <c r="R576" s="39"/>
      <c r="S576" s="48" t="n">
        <f aca="false">IFERROR(VLOOKUP(H576,Settings!B14:C25,2,FALSE()),0)</f>
        <v>0</v>
      </c>
    </row>
    <row r="577" customFormat="false" ht="15" hidden="false" customHeight="false" outlineLevel="0" collapsed="false">
      <c r="A577" s="41" t="str">
        <f aca="false">IF(B577="","",ROW()-3)</f>
        <v/>
      </c>
      <c r="B577" s="42"/>
      <c r="G577" s="44"/>
      <c r="I577" s="44" t="n">
        <f aca="false">IF(G577="",0,G577*S577)</f>
        <v>0</v>
      </c>
      <c r="J577" s="44"/>
      <c r="K577" s="44" t="n">
        <f aca="false">IF(G577="",0,G577-I577-IF(J577="",0,J577))</f>
        <v>0</v>
      </c>
      <c r="L577" s="44" t="n">
        <f aca="false">IF(O577="",0,IFERROR(INDEX(Purchases!I:I,MATCH(O577*1,Purchases!A:A,0)),0))</f>
        <v>0</v>
      </c>
      <c r="M577" s="44" t="n">
        <f aca="false">IF(G577="",0,K577-L577)</f>
        <v>0</v>
      </c>
      <c r="N577" s="49" t="str">
        <f aca="false">IFERROR(IF(G577="","",M577/G577),"")</f>
        <v/>
      </c>
      <c r="S577" s="49" t="n">
        <f aca="false">IFERROR(VLOOKUP(H577,Settings!B14:C25,2,FALSE()),0)</f>
        <v>0</v>
      </c>
    </row>
    <row r="578" customFormat="false" ht="15" hidden="false" customHeight="false" outlineLevel="0" collapsed="false">
      <c r="A578" s="37" t="str">
        <f aca="false">IF(B578="","",ROW()-3)</f>
        <v/>
      </c>
      <c r="B578" s="38"/>
      <c r="C578" s="39"/>
      <c r="D578" s="39"/>
      <c r="E578" s="39"/>
      <c r="F578" s="39"/>
      <c r="G578" s="40"/>
      <c r="H578" s="39"/>
      <c r="I578" s="40" t="n">
        <f aca="false">IF(G578="",0,G578*S578)</f>
        <v>0</v>
      </c>
      <c r="J578" s="40"/>
      <c r="K578" s="40" t="n">
        <f aca="false">IF(G578="",0,G578-I578-IF(J578="",0,J578))</f>
        <v>0</v>
      </c>
      <c r="L578" s="40" t="n">
        <f aca="false">IF(O578="",0,IFERROR(INDEX(Purchases!I:I,MATCH(O578*1,Purchases!A:A,0)),0))</f>
        <v>0</v>
      </c>
      <c r="M578" s="40" t="n">
        <f aca="false">IF(G578="",0,K578-L578)</f>
        <v>0</v>
      </c>
      <c r="N578" s="48" t="str">
        <f aca="false">IFERROR(IF(G578="","",M578/G578),"")</f>
        <v/>
      </c>
      <c r="O578" s="39"/>
      <c r="P578" s="39"/>
      <c r="Q578" s="39"/>
      <c r="R578" s="39"/>
      <c r="S578" s="48" t="n">
        <f aca="false">IFERROR(VLOOKUP(H578,Settings!B14:C25,2,FALSE()),0)</f>
        <v>0</v>
      </c>
    </row>
    <row r="579" customFormat="false" ht="15" hidden="false" customHeight="false" outlineLevel="0" collapsed="false">
      <c r="A579" s="41" t="str">
        <f aca="false">IF(B579="","",ROW()-3)</f>
        <v/>
      </c>
      <c r="B579" s="42"/>
      <c r="G579" s="44"/>
      <c r="I579" s="44" t="n">
        <f aca="false">IF(G579="",0,G579*S579)</f>
        <v>0</v>
      </c>
      <c r="J579" s="44"/>
      <c r="K579" s="44" t="n">
        <f aca="false">IF(G579="",0,G579-I579-IF(J579="",0,J579))</f>
        <v>0</v>
      </c>
      <c r="L579" s="44" t="n">
        <f aca="false">IF(O579="",0,IFERROR(INDEX(Purchases!I:I,MATCH(O579*1,Purchases!A:A,0)),0))</f>
        <v>0</v>
      </c>
      <c r="M579" s="44" t="n">
        <f aca="false">IF(G579="",0,K579-L579)</f>
        <v>0</v>
      </c>
      <c r="N579" s="49" t="str">
        <f aca="false">IFERROR(IF(G579="","",M579/G579),"")</f>
        <v/>
      </c>
      <c r="S579" s="49" t="n">
        <f aca="false">IFERROR(VLOOKUP(H579,Settings!B14:C25,2,FALSE()),0)</f>
        <v>0</v>
      </c>
    </row>
    <row r="580" customFormat="false" ht="15" hidden="false" customHeight="false" outlineLevel="0" collapsed="false">
      <c r="A580" s="37" t="str">
        <f aca="false">IF(B580="","",ROW()-3)</f>
        <v/>
      </c>
      <c r="B580" s="38"/>
      <c r="C580" s="39"/>
      <c r="D580" s="39"/>
      <c r="E580" s="39"/>
      <c r="F580" s="39"/>
      <c r="G580" s="40"/>
      <c r="H580" s="39"/>
      <c r="I580" s="40" t="n">
        <f aca="false">IF(G580="",0,G580*S580)</f>
        <v>0</v>
      </c>
      <c r="J580" s="40"/>
      <c r="K580" s="40" t="n">
        <f aca="false">IF(G580="",0,G580-I580-IF(J580="",0,J580))</f>
        <v>0</v>
      </c>
      <c r="L580" s="40" t="n">
        <f aca="false">IF(O580="",0,IFERROR(INDEX(Purchases!I:I,MATCH(O580*1,Purchases!A:A,0)),0))</f>
        <v>0</v>
      </c>
      <c r="M580" s="40" t="n">
        <f aca="false">IF(G580="",0,K580-L580)</f>
        <v>0</v>
      </c>
      <c r="N580" s="48" t="str">
        <f aca="false">IFERROR(IF(G580="","",M580/G580),"")</f>
        <v/>
      </c>
      <c r="O580" s="39"/>
      <c r="P580" s="39"/>
      <c r="Q580" s="39"/>
      <c r="R580" s="39"/>
      <c r="S580" s="48" t="n">
        <f aca="false">IFERROR(VLOOKUP(H580,Settings!B14:C25,2,FALSE()),0)</f>
        <v>0</v>
      </c>
    </row>
    <row r="581" customFormat="false" ht="15" hidden="false" customHeight="false" outlineLevel="0" collapsed="false">
      <c r="A581" s="41" t="str">
        <f aca="false">IF(B581="","",ROW()-3)</f>
        <v/>
      </c>
      <c r="B581" s="42"/>
      <c r="G581" s="44"/>
      <c r="I581" s="44" t="n">
        <f aca="false">IF(G581="",0,G581*S581)</f>
        <v>0</v>
      </c>
      <c r="J581" s="44"/>
      <c r="K581" s="44" t="n">
        <f aca="false">IF(G581="",0,G581-I581-IF(J581="",0,J581))</f>
        <v>0</v>
      </c>
      <c r="L581" s="44" t="n">
        <f aca="false">IF(O581="",0,IFERROR(INDEX(Purchases!I:I,MATCH(O581*1,Purchases!A:A,0)),0))</f>
        <v>0</v>
      </c>
      <c r="M581" s="44" t="n">
        <f aca="false">IF(G581="",0,K581-L581)</f>
        <v>0</v>
      </c>
      <c r="N581" s="49" t="str">
        <f aca="false">IFERROR(IF(G581="","",M581/G581),"")</f>
        <v/>
      </c>
      <c r="S581" s="49" t="n">
        <f aca="false">IFERROR(VLOOKUP(H581,Settings!B14:C25,2,FALSE()),0)</f>
        <v>0</v>
      </c>
    </row>
    <row r="582" customFormat="false" ht="15" hidden="false" customHeight="false" outlineLevel="0" collapsed="false">
      <c r="A582" s="37" t="str">
        <f aca="false">IF(B582="","",ROW()-3)</f>
        <v/>
      </c>
      <c r="B582" s="38"/>
      <c r="C582" s="39"/>
      <c r="D582" s="39"/>
      <c r="E582" s="39"/>
      <c r="F582" s="39"/>
      <c r="G582" s="40"/>
      <c r="H582" s="39"/>
      <c r="I582" s="40" t="n">
        <f aca="false">IF(G582="",0,G582*S582)</f>
        <v>0</v>
      </c>
      <c r="J582" s="40"/>
      <c r="K582" s="40" t="n">
        <f aca="false">IF(G582="",0,G582-I582-IF(J582="",0,J582))</f>
        <v>0</v>
      </c>
      <c r="L582" s="40" t="n">
        <f aca="false">IF(O582="",0,IFERROR(INDEX(Purchases!I:I,MATCH(O582*1,Purchases!A:A,0)),0))</f>
        <v>0</v>
      </c>
      <c r="M582" s="40" t="n">
        <f aca="false">IF(G582="",0,K582-L582)</f>
        <v>0</v>
      </c>
      <c r="N582" s="48" t="str">
        <f aca="false">IFERROR(IF(G582="","",M582/G582),"")</f>
        <v/>
      </c>
      <c r="O582" s="39"/>
      <c r="P582" s="39"/>
      <c r="Q582" s="39"/>
      <c r="R582" s="39"/>
      <c r="S582" s="48" t="n">
        <f aca="false">IFERROR(VLOOKUP(H582,Settings!B14:C25,2,FALSE()),0)</f>
        <v>0</v>
      </c>
    </row>
    <row r="583" customFormat="false" ht="15" hidden="false" customHeight="false" outlineLevel="0" collapsed="false">
      <c r="A583" s="41" t="str">
        <f aca="false">IF(B583="","",ROW()-3)</f>
        <v/>
      </c>
      <c r="B583" s="42"/>
      <c r="G583" s="44"/>
      <c r="I583" s="44" t="n">
        <f aca="false">IF(G583="",0,G583*S583)</f>
        <v>0</v>
      </c>
      <c r="J583" s="44"/>
      <c r="K583" s="44" t="n">
        <f aca="false">IF(G583="",0,G583-I583-IF(J583="",0,J583))</f>
        <v>0</v>
      </c>
      <c r="L583" s="44" t="n">
        <f aca="false">IF(O583="",0,IFERROR(INDEX(Purchases!I:I,MATCH(O583*1,Purchases!A:A,0)),0))</f>
        <v>0</v>
      </c>
      <c r="M583" s="44" t="n">
        <f aca="false">IF(G583="",0,K583-L583)</f>
        <v>0</v>
      </c>
      <c r="N583" s="49" t="str">
        <f aca="false">IFERROR(IF(G583="","",M583/G583),"")</f>
        <v/>
      </c>
      <c r="S583" s="49" t="n">
        <f aca="false">IFERROR(VLOOKUP(H583,Settings!B14:C25,2,FALSE()),0)</f>
        <v>0</v>
      </c>
    </row>
    <row r="584" customFormat="false" ht="15" hidden="false" customHeight="false" outlineLevel="0" collapsed="false">
      <c r="A584" s="37" t="str">
        <f aca="false">IF(B584="","",ROW()-3)</f>
        <v/>
      </c>
      <c r="B584" s="38"/>
      <c r="C584" s="39"/>
      <c r="D584" s="39"/>
      <c r="E584" s="39"/>
      <c r="F584" s="39"/>
      <c r="G584" s="40"/>
      <c r="H584" s="39"/>
      <c r="I584" s="40" t="n">
        <f aca="false">IF(G584="",0,G584*S584)</f>
        <v>0</v>
      </c>
      <c r="J584" s="40"/>
      <c r="K584" s="40" t="n">
        <f aca="false">IF(G584="",0,G584-I584-IF(J584="",0,J584))</f>
        <v>0</v>
      </c>
      <c r="L584" s="40" t="n">
        <f aca="false">IF(O584="",0,IFERROR(INDEX(Purchases!I:I,MATCH(O584*1,Purchases!A:A,0)),0))</f>
        <v>0</v>
      </c>
      <c r="M584" s="40" t="n">
        <f aca="false">IF(G584="",0,K584-L584)</f>
        <v>0</v>
      </c>
      <c r="N584" s="48" t="str">
        <f aca="false">IFERROR(IF(G584="","",M584/G584),"")</f>
        <v/>
      </c>
      <c r="O584" s="39"/>
      <c r="P584" s="39"/>
      <c r="Q584" s="39"/>
      <c r="R584" s="39"/>
      <c r="S584" s="48" t="n">
        <f aca="false">IFERROR(VLOOKUP(H584,Settings!B14:C25,2,FALSE()),0)</f>
        <v>0</v>
      </c>
    </row>
    <row r="585" customFormat="false" ht="15" hidden="false" customHeight="false" outlineLevel="0" collapsed="false">
      <c r="A585" s="41" t="str">
        <f aca="false">IF(B585="","",ROW()-3)</f>
        <v/>
      </c>
      <c r="B585" s="42"/>
      <c r="G585" s="44"/>
      <c r="I585" s="44" t="n">
        <f aca="false">IF(G585="",0,G585*S585)</f>
        <v>0</v>
      </c>
      <c r="J585" s="44"/>
      <c r="K585" s="44" t="n">
        <f aca="false">IF(G585="",0,G585-I585-IF(J585="",0,J585))</f>
        <v>0</v>
      </c>
      <c r="L585" s="44" t="n">
        <f aca="false">IF(O585="",0,IFERROR(INDEX(Purchases!I:I,MATCH(O585*1,Purchases!A:A,0)),0))</f>
        <v>0</v>
      </c>
      <c r="M585" s="44" t="n">
        <f aca="false">IF(G585="",0,K585-L585)</f>
        <v>0</v>
      </c>
      <c r="N585" s="49" t="str">
        <f aca="false">IFERROR(IF(G585="","",M585/G585),"")</f>
        <v/>
      </c>
      <c r="S585" s="49" t="n">
        <f aca="false">IFERROR(VLOOKUP(H585,Settings!B14:C25,2,FALSE()),0)</f>
        <v>0</v>
      </c>
    </row>
    <row r="586" customFormat="false" ht="15" hidden="false" customHeight="false" outlineLevel="0" collapsed="false">
      <c r="A586" s="37" t="str">
        <f aca="false">IF(B586="","",ROW()-3)</f>
        <v/>
      </c>
      <c r="B586" s="38"/>
      <c r="C586" s="39"/>
      <c r="D586" s="39"/>
      <c r="E586" s="39"/>
      <c r="F586" s="39"/>
      <c r="G586" s="40"/>
      <c r="H586" s="39"/>
      <c r="I586" s="40" t="n">
        <f aca="false">IF(G586="",0,G586*S586)</f>
        <v>0</v>
      </c>
      <c r="J586" s="40"/>
      <c r="K586" s="40" t="n">
        <f aca="false">IF(G586="",0,G586-I586-IF(J586="",0,J586))</f>
        <v>0</v>
      </c>
      <c r="L586" s="40" t="n">
        <f aca="false">IF(O586="",0,IFERROR(INDEX(Purchases!I:I,MATCH(O586*1,Purchases!A:A,0)),0))</f>
        <v>0</v>
      </c>
      <c r="M586" s="40" t="n">
        <f aca="false">IF(G586="",0,K586-L586)</f>
        <v>0</v>
      </c>
      <c r="N586" s="48" t="str">
        <f aca="false">IFERROR(IF(G586="","",M586/G586),"")</f>
        <v/>
      </c>
      <c r="O586" s="39"/>
      <c r="P586" s="39"/>
      <c r="Q586" s="39"/>
      <c r="R586" s="39"/>
      <c r="S586" s="48" t="n">
        <f aca="false">IFERROR(VLOOKUP(H586,Settings!B14:C25,2,FALSE()),0)</f>
        <v>0</v>
      </c>
    </row>
    <row r="587" customFormat="false" ht="15" hidden="false" customHeight="false" outlineLevel="0" collapsed="false">
      <c r="A587" s="41" t="str">
        <f aca="false">IF(B587="","",ROW()-3)</f>
        <v/>
      </c>
      <c r="B587" s="42"/>
      <c r="G587" s="44"/>
      <c r="I587" s="44" t="n">
        <f aca="false">IF(G587="",0,G587*S587)</f>
        <v>0</v>
      </c>
      <c r="J587" s="44"/>
      <c r="K587" s="44" t="n">
        <f aca="false">IF(G587="",0,G587-I587-IF(J587="",0,J587))</f>
        <v>0</v>
      </c>
      <c r="L587" s="44" t="n">
        <f aca="false">IF(O587="",0,IFERROR(INDEX(Purchases!I:I,MATCH(O587*1,Purchases!A:A,0)),0))</f>
        <v>0</v>
      </c>
      <c r="M587" s="44" t="n">
        <f aca="false">IF(G587="",0,K587-L587)</f>
        <v>0</v>
      </c>
      <c r="N587" s="49" t="str">
        <f aca="false">IFERROR(IF(G587="","",M587/G587),"")</f>
        <v/>
      </c>
      <c r="S587" s="49" t="n">
        <f aca="false">IFERROR(VLOOKUP(H587,Settings!B14:C25,2,FALSE()),0)</f>
        <v>0</v>
      </c>
    </row>
    <row r="588" customFormat="false" ht="15" hidden="false" customHeight="false" outlineLevel="0" collapsed="false">
      <c r="A588" s="37" t="str">
        <f aca="false">IF(B588="","",ROW()-3)</f>
        <v/>
      </c>
      <c r="B588" s="38"/>
      <c r="C588" s="39"/>
      <c r="D588" s="39"/>
      <c r="E588" s="39"/>
      <c r="F588" s="39"/>
      <c r="G588" s="40"/>
      <c r="H588" s="39"/>
      <c r="I588" s="40" t="n">
        <f aca="false">IF(G588="",0,G588*S588)</f>
        <v>0</v>
      </c>
      <c r="J588" s="40"/>
      <c r="K588" s="40" t="n">
        <f aca="false">IF(G588="",0,G588-I588-IF(J588="",0,J588))</f>
        <v>0</v>
      </c>
      <c r="L588" s="40" t="n">
        <f aca="false">IF(O588="",0,IFERROR(INDEX(Purchases!I:I,MATCH(O588*1,Purchases!A:A,0)),0))</f>
        <v>0</v>
      </c>
      <c r="M588" s="40" t="n">
        <f aca="false">IF(G588="",0,K588-L588)</f>
        <v>0</v>
      </c>
      <c r="N588" s="48" t="str">
        <f aca="false">IFERROR(IF(G588="","",M588/G588),"")</f>
        <v/>
      </c>
      <c r="O588" s="39"/>
      <c r="P588" s="39"/>
      <c r="Q588" s="39"/>
      <c r="R588" s="39"/>
      <c r="S588" s="48" t="n">
        <f aca="false">IFERROR(VLOOKUP(H588,Settings!B14:C25,2,FALSE()),0)</f>
        <v>0</v>
      </c>
    </row>
    <row r="589" customFormat="false" ht="15" hidden="false" customHeight="false" outlineLevel="0" collapsed="false">
      <c r="A589" s="41" t="str">
        <f aca="false">IF(B589="","",ROW()-3)</f>
        <v/>
      </c>
      <c r="B589" s="42"/>
      <c r="G589" s="44"/>
      <c r="I589" s="44" t="n">
        <f aca="false">IF(G589="",0,G589*S589)</f>
        <v>0</v>
      </c>
      <c r="J589" s="44"/>
      <c r="K589" s="44" t="n">
        <f aca="false">IF(G589="",0,G589-I589-IF(J589="",0,J589))</f>
        <v>0</v>
      </c>
      <c r="L589" s="44" t="n">
        <f aca="false">IF(O589="",0,IFERROR(INDEX(Purchases!I:I,MATCH(O589*1,Purchases!A:A,0)),0))</f>
        <v>0</v>
      </c>
      <c r="M589" s="44" t="n">
        <f aca="false">IF(G589="",0,K589-L589)</f>
        <v>0</v>
      </c>
      <c r="N589" s="49" t="str">
        <f aca="false">IFERROR(IF(G589="","",M589/G589),"")</f>
        <v/>
      </c>
      <c r="S589" s="49" t="n">
        <f aca="false">IFERROR(VLOOKUP(H589,Settings!B14:C25,2,FALSE()),0)</f>
        <v>0</v>
      </c>
    </row>
    <row r="590" customFormat="false" ht="15" hidden="false" customHeight="false" outlineLevel="0" collapsed="false">
      <c r="A590" s="37" t="str">
        <f aca="false">IF(B590="","",ROW()-3)</f>
        <v/>
      </c>
      <c r="B590" s="38"/>
      <c r="C590" s="39"/>
      <c r="D590" s="39"/>
      <c r="E590" s="39"/>
      <c r="F590" s="39"/>
      <c r="G590" s="40"/>
      <c r="H590" s="39"/>
      <c r="I590" s="40" t="n">
        <f aca="false">IF(G590="",0,G590*S590)</f>
        <v>0</v>
      </c>
      <c r="J590" s="40"/>
      <c r="K590" s="40" t="n">
        <f aca="false">IF(G590="",0,G590-I590-IF(J590="",0,J590))</f>
        <v>0</v>
      </c>
      <c r="L590" s="40" t="n">
        <f aca="false">IF(O590="",0,IFERROR(INDEX(Purchases!I:I,MATCH(O590*1,Purchases!A:A,0)),0))</f>
        <v>0</v>
      </c>
      <c r="M590" s="40" t="n">
        <f aca="false">IF(G590="",0,K590-L590)</f>
        <v>0</v>
      </c>
      <c r="N590" s="48" t="str">
        <f aca="false">IFERROR(IF(G590="","",M590/G590),"")</f>
        <v/>
      </c>
      <c r="O590" s="39"/>
      <c r="P590" s="39"/>
      <c r="Q590" s="39"/>
      <c r="R590" s="39"/>
      <c r="S590" s="48" t="n">
        <f aca="false">IFERROR(VLOOKUP(H590,Settings!B14:C25,2,FALSE()),0)</f>
        <v>0</v>
      </c>
    </row>
    <row r="591" customFormat="false" ht="15" hidden="false" customHeight="false" outlineLevel="0" collapsed="false">
      <c r="A591" s="41" t="str">
        <f aca="false">IF(B591="","",ROW()-3)</f>
        <v/>
      </c>
      <c r="B591" s="42"/>
      <c r="G591" s="44"/>
      <c r="I591" s="44" t="n">
        <f aca="false">IF(G591="",0,G591*S591)</f>
        <v>0</v>
      </c>
      <c r="J591" s="44"/>
      <c r="K591" s="44" t="n">
        <f aca="false">IF(G591="",0,G591-I591-IF(J591="",0,J591))</f>
        <v>0</v>
      </c>
      <c r="L591" s="44" t="n">
        <f aca="false">IF(O591="",0,IFERROR(INDEX(Purchases!I:I,MATCH(O591*1,Purchases!A:A,0)),0))</f>
        <v>0</v>
      </c>
      <c r="M591" s="44" t="n">
        <f aca="false">IF(G591="",0,K591-L591)</f>
        <v>0</v>
      </c>
      <c r="N591" s="49" t="str">
        <f aca="false">IFERROR(IF(G591="","",M591/G591),"")</f>
        <v/>
      </c>
      <c r="S591" s="49" t="n">
        <f aca="false">IFERROR(VLOOKUP(H591,Settings!B14:C25,2,FALSE()),0)</f>
        <v>0</v>
      </c>
    </row>
    <row r="592" customFormat="false" ht="15" hidden="false" customHeight="false" outlineLevel="0" collapsed="false">
      <c r="A592" s="37" t="str">
        <f aca="false">IF(B592="","",ROW()-3)</f>
        <v/>
      </c>
      <c r="B592" s="38"/>
      <c r="C592" s="39"/>
      <c r="D592" s="39"/>
      <c r="E592" s="39"/>
      <c r="F592" s="39"/>
      <c r="G592" s="40"/>
      <c r="H592" s="39"/>
      <c r="I592" s="40" t="n">
        <f aca="false">IF(G592="",0,G592*S592)</f>
        <v>0</v>
      </c>
      <c r="J592" s="40"/>
      <c r="K592" s="40" t="n">
        <f aca="false">IF(G592="",0,G592-I592-IF(J592="",0,J592))</f>
        <v>0</v>
      </c>
      <c r="L592" s="40" t="n">
        <f aca="false">IF(O592="",0,IFERROR(INDEX(Purchases!I:I,MATCH(O592*1,Purchases!A:A,0)),0))</f>
        <v>0</v>
      </c>
      <c r="M592" s="40" t="n">
        <f aca="false">IF(G592="",0,K592-L592)</f>
        <v>0</v>
      </c>
      <c r="N592" s="48" t="str">
        <f aca="false">IFERROR(IF(G592="","",M592/G592),"")</f>
        <v/>
      </c>
      <c r="O592" s="39"/>
      <c r="P592" s="39"/>
      <c r="Q592" s="39"/>
      <c r="R592" s="39"/>
      <c r="S592" s="48" t="n">
        <f aca="false">IFERROR(VLOOKUP(H592,Settings!B14:C25,2,FALSE()),0)</f>
        <v>0</v>
      </c>
    </row>
    <row r="593" customFormat="false" ht="15" hidden="false" customHeight="false" outlineLevel="0" collapsed="false">
      <c r="A593" s="41" t="str">
        <f aca="false">IF(B593="","",ROW()-3)</f>
        <v/>
      </c>
      <c r="B593" s="42"/>
      <c r="G593" s="44"/>
      <c r="I593" s="44" t="n">
        <f aca="false">IF(G593="",0,G593*S593)</f>
        <v>0</v>
      </c>
      <c r="J593" s="44"/>
      <c r="K593" s="44" t="n">
        <f aca="false">IF(G593="",0,G593-I593-IF(J593="",0,J593))</f>
        <v>0</v>
      </c>
      <c r="L593" s="44" t="n">
        <f aca="false">IF(O593="",0,IFERROR(INDEX(Purchases!I:I,MATCH(O593*1,Purchases!A:A,0)),0))</f>
        <v>0</v>
      </c>
      <c r="M593" s="44" t="n">
        <f aca="false">IF(G593="",0,K593-L593)</f>
        <v>0</v>
      </c>
      <c r="N593" s="49" t="str">
        <f aca="false">IFERROR(IF(G593="","",M593/G593),"")</f>
        <v/>
      </c>
      <c r="S593" s="49" t="n">
        <f aca="false">IFERROR(VLOOKUP(H593,Settings!B14:C25,2,FALSE()),0)</f>
        <v>0</v>
      </c>
    </row>
    <row r="594" customFormat="false" ht="15" hidden="false" customHeight="false" outlineLevel="0" collapsed="false">
      <c r="A594" s="37" t="str">
        <f aca="false">IF(B594="","",ROW()-3)</f>
        <v/>
      </c>
      <c r="B594" s="38"/>
      <c r="C594" s="39"/>
      <c r="D594" s="39"/>
      <c r="E594" s="39"/>
      <c r="F594" s="39"/>
      <c r="G594" s="40"/>
      <c r="H594" s="39"/>
      <c r="I594" s="40" t="n">
        <f aca="false">IF(G594="",0,G594*S594)</f>
        <v>0</v>
      </c>
      <c r="J594" s="40"/>
      <c r="K594" s="40" t="n">
        <f aca="false">IF(G594="",0,G594-I594-IF(J594="",0,J594))</f>
        <v>0</v>
      </c>
      <c r="L594" s="40" t="n">
        <f aca="false">IF(O594="",0,IFERROR(INDEX(Purchases!I:I,MATCH(O594*1,Purchases!A:A,0)),0))</f>
        <v>0</v>
      </c>
      <c r="M594" s="40" t="n">
        <f aca="false">IF(G594="",0,K594-L594)</f>
        <v>0</v>
      </c>
      <c r="N594" s="48" t="str">
        <f aca="false">IFERROR(IF(G594="","",M594/G594),"")</f>
        <v/>
      </c>
      <c r="O594" s="39"/>
      <c r="P594" s="39"/>
      <c r="Q594" s="39"/>
      <c r="R594" s="39"/>
      <c r="S594" s="48" t="n">
        <f aca="false">IFERROR(VLOOKUP(H594,Settings!B14:C25,2,FALSE()),0)</f>
        <v>0</v>
      </c>
    </row>
    <row r="595" customFormat="false" ht="15" hidden="false" customHeight="false" outlineLevel="0" collapsed="false">
      <c r="A595" s="41" t="str">
        <f aca="false">IF(B595="","",ROW()-3)</f>
        <v/>
      </c>
      <c r="B595" s="42"/>
      <c r="G595" s="44"/>
      <c r="I595" s="44" t="n">
        <f aca="false">IF(G595="",0,G595*S595)</f>
        <v>0</v>
      </c>
      <c r="J595" s="44"/>
      <c r="K595" s="44" t="n">
        <f aca="false">IF(G595="",0,G595-I595-IF(J595="",0,J595))</f>
        <v>0</v>
      </c>
      <c r="L595" s="44" t="n">
        <f aca="false">IF(O595="",0,IFERROR(INDEX(Purchases!I:I,MATCH(O595*1,Purchases!A:A,0)),0))</f>
        <v>0</v>
      </c>
      <c r="M595" s="44" t="n">
        <f aca="false">IF(G595="",0,K595-L595)</f>
        <v>0</v>
      </c>
      <c r="N595" s="49" t="str">
        <f aca="false">IFERROR(IF(G595="","",M595/G595),"")</f>
        <v/>
      </c>
      <c r="S595" s="49" t="n">
        <f aca="false">IFERROR(VLOOKUP(H595,Settings!B14:C25,2,FALSE()),0)</f>
        <v>0</v>
      </c>
    </row>
    <row r="596" customFormat="false" ht="15" hidden="false" customHeight="false" outlineLevel="0" collapsed="false">
      <c r="A596" s="37" t="str">
        <f aca="false">IF(B596="","",ROW()-3)</f>
        <v/>
      </c>
      <c r="B596" s="38"/>
      <c r="C596" s="39"/>
      <c r="D596" s="39"/>
      <c r="E596" s="39"/>
      <c r="F596" s="39"/>
      <c r="G596" s="40"/>
      <c r="H596" s="39"/>
      <c r="I596" s="40" t="n">
        <f aca="false">IF(G596="",0,G596*S596)</f>
        <v>0</v>
      </c>
      <c r="J596" s="40"/>
      <c r="K596" s="40" t="n">
        <f aca="false">IF(G596="",0,G596-I596-IF(J596="",0,J596))</f>
        <v>0</v>
      </c>
      <c r="L596" s="40" t="n">
        <f aca="false">IF(O596="",0,IFERROR(INDEX(Purchases!I:I,MATCH(O596*1,Purchases!A:A,0)),0))</f>
        <v>0</v>
      </c>
      <c r="M596" s="40" t="n">
        <f aca="false">IF(G596="",0,K596-L596)</f>
        <v>0</v>
      </c>
      <c r="N596" s="48" t="str">
        <f aca="false">IFERROR(IF(G596="","",M596/G596),"")</f>
        <v/>
      </c>
      <c r="O596" s="39"/>
      <c r="P596" s="39"/>
      <c r="Q596" s="39"/>
      <c r="R596" s="39"/>
      <c r="S596" s="48" t="n">
        <f aca="false">IFERROR(VLOOKUP(H596,Settings!B14:C25,2,FALSE()),0)</f>
        <v>0</v>
      </c>
    </row>
    <row r="597" customFormat="false" ht="15" hidden="false" customHeight="false" outlineLevel="0" collapsed="false">
      <c r="A597" s="41" t="str">
        <f aca="false">IF(B597="","",ROW()-3)</f>
        <v/>
      </c>
      <c r="B597" s="42"/>
      <c r="G597" s="44"/>
      <c r="I597" s="44" t="n">
        <f aca="false">IF(G597="",0,G597*S597)</f>
        <v>0</v>
      </c>
      <c r="J597" s="44"/>
      <c r="K597" s="44" t="n">
        <f aca="false">IF(G597="",0,G597-I597-IF(J597="",0,J597))</f>
        <v>0</v>
      </c>
      <c r="L597" s="44" t="n">
        <f aca="false">IF(O597="",0,IFERROR(INDEX(Purchases!I:I,MATCH(O597*1,Purchases!A:A,0)),0))</f>
        <v>0</v>
      </c>
      <c r="M597" s="44" t="n">
        <f aca="false">IF(G597="",0,K597-L597)</f>
        <v>0</v>
      </c>
      <c r="N597" s="49" t="str">
        <f aca="false">IFERROR(IF(G597="","",M597/G597),"")</f>
        <v/>
      </c>
      <c r="S597" s="49" t="n">
        <f aca="false">IFERROR(VLOOKUP(H597,Settings!B14:C25,2,FALSE()),0)</f>
        <v>0</v>
      </c>
    </row>
    <row r="598" customFormat="false" ht="15" hidden="false" customHeight="false" outlineLevel="0" collapsed="false">
      <c r="A598" s="37" t="str">
        <f aca="false">IF(B598="","",ROW()-3)</f>
        <v/>
      </c>
      <c r="B598" s="38"/>
      <c r="C598" s="39"/>
      <c r="D598" s="39"/>
      <c r="E598" s="39"/>
      <c r="F598" s="39"/>
      <c r="G598" s="40"/>
      <c r="H598" s="39"/>
      <c r="I598" s="40" t="n">
        <f aca="false">IF(G598="",0,G598*S598)</f>
        <v>0</v>
      </c>
      <c r="J598" s="40"/>
      <c r="K598" s="40" t="n">
        <f aca="false">IF(G598="",0,G598-I598-IF(J598="",0,J598))</f>
        <v>0</v>
      </c>
      <c r="L598" s="40" t="n">
        <f aca="false">IF(O598="",0,IFERROR(INDEX(Purchases!I:I,MATCH(O598*1,Purchases!A:A,0)),0))</f>
        <v>0</v>
      </c>
      <c r="M598" s="40" t="n">
        <f aca="false">IF(G598="",0,K598-L598)</f>
        <v>0</v>
      </c>
      <c r="N598" s="48" t="str">
        <f aca="false">IFERROR(IF(G598="","",M598/G598),"")</f>
        <v/>
      </c>
      <c r="O598" s="39"/>
      <c r="P598" s="39"/>
      <c r="Q598" s="39"/>
      <c r="R598" s="39"/>
      <c r="S598" s="48" t="n">
        <f aca="false">IFERROR(VLOOKUP(H598,Settings!B14:C25,2,FALSE()),0)</f>
        <v>0</v>
      </c>
    </row>
    <row r="599" customFormat="false" ht="15" hidden="false" customHeight="false" outlineLevel="0" collapsed="false">
      <c r="A599" s="41" t="str">
        <f aca="false">IF(B599="","",ROW()-3)</f>
        <v/>
      </c>
      <c r="B599" s="42"/>
      <c r="G599" s="44"/>
      <c r="I599" s="44" t="n">
        <f aca="false">IF(G599="",0,G599*S599)</f>
        <v>0</v>
      </c>
      <c r="J599" s="44"/>
      <c r="K599" s="44" t="n">
        <f aca="false">IF(G599="",0,G599-I599-IF(J599="",0,J599))</f>
        <v>0</v>
      </c>
      <c r="L599" s="44" t="n">
        <f aca="false">IF(O599="",0,IFERROR(INDEX(Purchases!I:I,MATCH(O599*1,Purchases!A:A,0)),0))</f>
        <v>0</v>
      </c>
      <c r="M599" s="44" t="n">
        <f aca="false">IF(G599="",0,K599-L599)</f>
        <v>0</v>
      </c>
      <c r="N599" s="49" t="str">
        <f aca="false">IFERROR(IF(G599="","",M599/G599),"")</f>
        <v/>
      </c>
      <c r="S599" s="49" t="n">
        <f aca="false">IFERROR(VLOOKUP(H599,Settings!B14:C25,2,FALSE()),0)</f>
        <v>0</v>
      </c>
    </row>
    <row r="600" customFormat="false" ht="15" hidden="false" customHeight="false" outlineLevel="0" collapsed="false">
      <c r="A600" s="37" t="str">
        <f aca="false">IF(B600="","",ROW()-3)</f>
        <v/>
      </c>
      <c r="B600" s="38"/>
      <c r="C600" s="39"/>
      <c r="D600" s="39"/>
      <c r="E600" s="39"/>
      <c r="F600" s="39"/>
      <c r="G600" s="40"/>
      <c r="H600" s="39"/>
      <c r="I600" s="40" t="n">
        <f aca="false">IF(G600="",0,G600*S600)</f>
        <v>0</v>
      </c>
      <c r="J600" s="40"/>
      <c r="K600" s="40" t="n">
        <f aca="false">IF(G600="",0,G600-I600-IF(J600="",0,J600))</f>
        <v>0</v>
      </c>
      <c r="L600" s="40" t="n">
        <f aca="false">IF(O600="",0,IFERROR(INDEX(Purchases!I:I,MATCH(O600*1,Purchases!A:A,0)),0))</f>
        <v>0</v>
      </c>
      <c r="M600" s="40" t="n">
        <f aca="false">IF(G600="",0,K600-L600)</f>
        <v>0</v>
      </c>
      <c r="N600" s="48" t="str">
        <f aca="false">IFERROR(IF(G600="","",M600/G600),"")</f>
        <v/>
      </c>
      <c r="O600" s="39"/>
      <c r="P600" s="39"/>
      <c r="Q600" s="39"/>
      <c r="R600" s="39"/>
      <c r="S600" s="48" t="n">
        <f aca="false">IFERROR(VLOOKUP(H600,Settings!B14:C25,2,FALSE()),0)</f>
        <v>0</v>
      </c>
    </row>
    <row r="601" customFormat="false" ht="15" hidden="false" customHeight="false" outlineLevel="0" collapsed="false">
      <c r="A601" s="41" t="str">
        <f aca="false">IF(B601="","",ROW()-3)</f>
        <v/>
      </c>
      <c r="B601" s="42"/>
      <c r="G601" s="44"/>
      <c r="I601" s="44" t="n">
        <f aca="false">IF(G601="",0,G601*S601)</f>
        <v>0</v>
      </c>
      <c r="J601" s="44"/>
      <c r="K601" s="44" t="n">
        <f aca="false">IF(G601="",0,G601-I601-IF(J601="",0,J601))</f>
        <v>0</v>
      </c>
      <c r="L601" s="44" t="n">
        <f aca="false">IF(O601="",0,IFERROR(INDEX(Purchases!I:I,MATCH(O601*1,Purchases!A:A,0)),0))</f>
        <v>0</v>
      </c>
      <c r="M601" s="44" t="n">
        <f aca="false">IF(G601="",0,K601-L601)</f>
        <v>0</v>
      </c>
      <c r="N601" s="49" t="str">
        <f aca="false">IFERROR(IF(G601="","",M601/G601),"")</f>
        <v/>
      </c>
      <c r="S601" s="49" t="n">
        <f aca="false">IFERROR(VLOOKUP(H601,Settings!B14:C25,2,FALSE()),0)</f>
        <v>0</v>
      </c>
    </row>
    <row r="602" customFormat="false" ht="15" hidden="false" customHeight="false" outlineLevel="0" collapsed="false">
      <c r="A602" s="37" t="str">
        <f aca="false">IF(B602="","",ROW()-3)</f>
        <v/>
      </c>
      <c r="B602" s="38"/>
      <c r="C602" s="39"/>
      <c r="D602" s="39"/>
      <c r="E602" s="39"/>
      <c r="F602" s="39"/>
      <c r="G602" s="40"/>
      <c r="H602" s="39"/>
      <c r="I602" s="40" t="n">
        <f aca="false">IF(G602="",0,G602*S602)</f>
        <v>0</v>
      </c>
      <c r="J602" s="40"/>
      <c r="K602" s="40" t="n">
        <f aca="false">IF(G602="",0,G602-I602-IF(J602="",0,J602))</f>
        <v>0</v>
      </c>
      <c r="L602" s="40" t="n">
        <f aca="false">IF(O602="",0,IFERROR(INDEX(Purchases!I:I,MATCH(O602*1,Purchases!A:A,0)),0))</f>
        <v>0</v>
      </c>
      <c r="M602" s="40" t="n">
        <f aca="false">IF(G602="",0,K602-L602)</f>
        <v>0</v>
      </c>
      <c r="N602" s="48" t="str">
        <f aca="false">IFERROR(IF(G602="","",M602/G602),"")</f>
        <v/>
      </c>
      <c r="O602" s="39"/>
      <c r="P602" s="39"/>
      <c r="Q602" s="39"/>
      <c r="R602" s="39"/>
      <c r="S602" s="48" t="n">
        <f aca="false">IFERROR(VLOOKUP(H602,Settings!B14:C25,2,FALSE()),0)</f>
        <v>0</v>
      </c>
    </row>
    <row r="603" customFormat="false" ht="15" hidden="false" customHeight="false" outlineLevel="0" collapsed="false">
      <c r="A603" s="41" t="str">
        <f aca="false">IF(B603="","",ROW()-3)</f>
        <v/>
      </c>
      <c r="B603" s="42"/>
      <c r="G603" s="44"/>
      <c r="I603" s="44" t="n">
        <f aca="false">IF(G603="",0,G603*S603)</f>
        <v>0</v>
      </c>
      <c r="J603" s="44"/>
      <c r="K603" s="44" t="n">
        <f aca="false">IF(G603="",0,G603-I603-IF(J603="",0,J603))</f>
        <v>0</v>
      </c>
      <c r="L603" s="44" t="n">
        <f aca="false">IF(O603="",0,IFERROR(INDEX(Purchases!I:I,MATCH(O603*1,Purchases!A:A,0)),0))</f>
        <v>0</v>
      </c>
      <c r="M603" s="44" t="n">
        <f aca="false">IF(G603="",0,K603-L603)</f>
        <v>0</v>
      </c>
      <c r="N603" s="49" t="str">
        <f aca="false">IFERROR(IF(G603="","",M603/G603),"")</f>
        <v/>
      </c>
      <c r="S603" s="49" t="n">
        <f aca="false">IFERROR(VLOOKUP(H603,Settings!B14:C25,2,FALSE()),0)</f>
        <v>0</v>
      </c>
    </row>
    <row r="604" customFormat="false" ht="15" hidden="false" customHeight="false" outlineLevel="0" collapsed="false">
      <c r="A604" s="37" t="str">
        <f aca="false">IF(B604="","",ROW()-3)</f>
        <v/>
      </c>
      <c r="B604" s="38"/>
      <c r="C604" s="39"/>
      <c r="D604" s="39"/>
      <c r="E604" s="39"/>
      <c r="F604" s="39"/>
      <c r="G604" s="40"/>
      <c r="H604" s="39"/>
      <c r="I604" s="40" t="n">
        <f aca="false">IF(G604="",0,G604*S604)</f>
        <v>0</v>
      </c>
      <c r="J604" s="40"/>
      <c r="K604" s="40" t="n">
        <f aca="false">IF(G604="",0,G604-I604-IF(J604="",0,J604))</f>
        <v>0</v>
      </c>
      <c r="L604" s="40" t="n">
        <f aca="false">IF(O604="",0,IFERROR(INDEX(Purchases!I:I,MATCH(O604*1,Purchases!A:A,0)),0))</f>
        <v>0</v>
      </c>
      <c r="M604" s="40" t="n">
        <f aca="false">IF(G604="",0,K604-L604)</f>
        <v>0</v>
      </c>
      <c r="N604" s="48" t="str">
        <f aca="false">IFERROR(IF(G604="","",M604/G604),"")</f>
        <v/>
      </c>
      <c r="O604" s="39"/>
      <c r="P604" s="39"/>
      <c r="Q604" s="39"/>
      <c r="R604" s="39"/>
      <c r="S604" s="48" t="n">
        <f aca="false">IFERROR(VLOOKUP(H604,Settings!B14:C25,2,FALSE()),0)</f>
        <v>0</v>
      </c>
    </row>
    <row r="605" customFormat="false" ht="15" hidden="false" customHeight="false" outlineLevel="0" collapsed="false">
      <c r="A605" s="41" t="str">
        <f aca="false">IF(B605="","",ROW()-3)</f>
        <v/>
      </c>
      <c r="B605" s="42"/>
      <c r="G605" s="44"/>
      <c r="I605" s="44" t="n">
        <f aca="false">IF(G605="",0,G605*S605)</f>
        <v>0</v>
      </c>
      <c r="J605" s="44"/>
      <c r="K605" s="44" t="n">
        <f aca="false">IF(G605="",0,G605-I605-IF(J605="",0,J605))</f>
        <v>0</v>
      </c>
      <c r="L605" s="44" t="n">
        <f aca="false">IF(O605="",0,IFERROR(INDEX(Purchases!I:I,MATCH(O605*1,Purchases!A:A,0)),0))</f>
        <v>0</v>
      </c>
      <c r="M605" s="44" t="n">
        <f aca="false">IF(G605="",0,K605-L605)</f>
        <v>0</v>
      </c>
      <c r="N605" s="49" t="str">
        <f aca="false">IFERROR(IF(G605="","",M605/G605),"")</f>
        <v/>
      </c>
      <c r="S605" s="49" t="n">
        <f aca="false">IFERROR(VLOOKUP(H605,Settings!B14:C25,2,FALSE()),0)</f>
        <v>0</v>
      </c>
    </row>
    <row r="606" customFormat="false" ht="15" hidden="false" customHeight="false" outlineLevel="0" collapsed="false">
      <c r="A606" s="37" t="str">
        <f aca="false">IF(B606="","",ROW()-3)</f>
        <v/>
      </c>
      <c r="B606" s="38"/>
      <c r="C606" s="39"/>
      <c r="D606" s="39"/>
      <c r="E606" s="39"/>
      <c r="F606" s="39"/>
      <c r="G606" s="40"/>
      <c r="H606" s="39"/>
      <c r="I606" s="40" t="n">
        <f aca="false">IF(G606="",0,G606*S606)</f>
        <v>0</v>
      </c>
      <c r="J606" s="40"/>
      <c r="K606" s="40" t="n">
        <f aca="false">IF(G606="",0,G606-I606-IF(J606="",0,J606))</f>
        <v>0</v>
      </c>
      <c r="L606" s="40" t="n">
        <f aca="false">IF(O606="",0,IFERROR(INDEX(Purchases!I:I,MATCH(O606*1,Purchases!A:A,0)),0))</f>
        <v>0</v>
      </c>
      <c r="M606" s="40" t="n">
        <f aca="false">IF(G606="",0,K606-L606)</f>
        <v>0</v>
      </c>
      <c r="N606" s="48" t="str">
        <f aca="false">IFERROR(IF(G606="","",M606/G606),"")</f>
        <v/>
      </c>
      <c r="O606" s="39"/>
      <c r="P606" s="39"/>
      <c r="Q606" s="39"/>
      <c r="R606" s="39"/>
      <c r="S606" s="48" t="n">
        <f aca="false">IFERROR(VLOOKUP(H606,Settings!B14:C25,2,FALSE()),0)</f>
        <v>0</v>
      </c>
    </row>
    <row r="607" customFormat="false" ht="15" hidden="false" customHeight="false" outlineLevel="0" collapsed="false">
      <c r="A607" s="41" t="str">
        <f aca="false">IF(B607="","",ROW()-3)</f>
        <v/>
      </c>
      <c r="B607" s="42"/>
      <c r="G607" s="44"/>
      <c r="I607" s="44" t="n">
        <f aca="false">IF(G607="",0,G607*S607)</f>
        <v>0</v>
      </c>
      <c r="J607" s="44"/>
      <c r="K607" s="44" t="n">
        <f aca="false">IF(G607="",0,G607-I607-IF(J607="",0,J607))</f>
        <v>0</v>
      </c>
      <c r="L607" s="44" t="n">
        <f aca="false">IF(O607="",0,IFERROR(INDEX(Purchases!I:I,MATCH(O607*1,Purchases!A:A,0)),0))</f>
        <v>0</v>
      </c>
      <c r="M607" s="44" t="n">
        <f aca="false">IF(G607="",0,K607-L607)</f>
        <v>0</v>
      </c>
      <c r="N607" s="49" t="str">
        <f aca="false">IFERROR(IF(G607="","",M607/G607),"")</f>
        <v/>
      </c>
      <c r="S607" s="49" t="n">
        <f aca="false">IFERROR(VLOOKUP(H607,Settings!B14:C25,2,FALSE()),0)</f>
        <v>0</v>
      </c>
    </row>
    <row r="608" customFormat="false" ht="15" hidden="false" customHeight="false" outlineLevel="0" collapsed="false">
      <c r="A608" s="37" t="str">
        <f aca="false">IF(B608="","",ROW()-3)</f>
        <v/>
      </c>
      <c r="B608" s="38"/>
      <c r="C608" s="39"/>
      <c r="D608" s="39"/>
      <c r="E608" s="39"/>
      <c r="F608" s="39"/>
      <c r="G608" s="40"/>
      <c r="H608" s="39"/>
      <c r="I608" s="40" t="n">
        <f aca="false">IF(G608="",0,G608*S608)</f>
        <v>0</v>
      </c>
      <c r="J608" s="40"/>
      <c r="K608" s="40" t="n">
        <f aca="false">IF(G608="",0,G608-I608-IF(J608="",0,J608))</f>
        <v>0</v>
      </c>
      <c r="L608" s="40" t="n">
        <f aca="false">IF(O608="",0,IFERROR(INDEX(Purchases!I:I,MATCH(O608*1,Purchases!A:A,0)),0))</f>
        <v>0</v>
      </c>
      <c r="M608" s="40" t="n">
        <f aca="false">IF(G608="",0,K608-L608)</f>
        <v>0</v>
      </c>
      <c r="N608" s="48" t="str">
        <f aca="false">IFERROR(IF(G608="","",M608/G608),"")</f>
        <v/>
      </c>
      <c r="O608" s="39"/>
      <c r="P608" s="39"/>
      <c r="Q608" s="39"/>
      <c r="R608" s="39"/>
      <c r="S608" s="48" t="n">
        <f aca="false">IFERROR(VLOOKUP(H608,Settings!B14:C25,2,FALSE()),0)</f>
        <v>0</v>
      </c>
    </row>
    <row r="609" customFormat="false" ht="15" hidden="false" customHeight="false" outlineLevel="0" collapsed="false">
      <c r="A609" s="41" t="str">
        <f aca="false">IF(B609="","",ROW()-3)</f>
        <v/>
      </c>
      <c r="B609" s="42"/>
      <c r="G609" s="44"/>
      <c r="I609" s="44" t="n">
        <f aca="false">IF(G609="",0,G609*S609)</f>
        <v>0</v>
      </c>
      <c r="J609" s="44"/>
      <c r="K609" s="44" t="n">
        <f aca="false">IF(G609="",0,G609-I609-IF(J609="",0,J609))</f>
        <v>0</v>
      </c>
      <c r="L609" s="44" t="n">
        <f aca="false">IF(O609="",0,IFERROR(INDEX(Purchases!I:I,MATCH(O609*1,Purchases!A:A,0)),0))</f>
        <v>0</v>
      </c>
      <c r="M609" s="44" t="n">
        <f aca="false">IF(G609="",0,K609-L609)</f>
        <v>0</v>
      </c>
      <c r="N609" s="49" t="str">
        <f aca="false">IFERROR(IF(G609="","",M609/G609),"")</f>
        <v/>
      </c>
      <c r="S609" s="49" t="n">
        <f aca="false">IFERROR(VLOOKUP(H609,Settings!B14:C25,2,FALSE()),0)</f>
        <v>0</v>
      </c>
    </row>
    <row r="610" customFormat="false" ht="15" hidden="false" customHeight="false" outlineLevel="0" collapsed="false">
      <c r="A610" s="37" t="str">
        <f aca="false">IF(B610="","",ROW()-3)</f>
        <v/>
      </c>
      <c r="B610" s="38"/>
      <c r="C610" s="39"/>
      <c r="D610" s="39"/>
      <c r="E610" s="39"/>
      <c r="F610" s="39"/>
      <c r="G610" s="40"/>
      <c r="H610" s="39"/>
      <c r="I610" s="40" t="n">
        <f aca="false">IF(G610="",0,G610*S610)</f>
        <v>0</v>
      </c>
      <c r="J610" s="40"/>
      <c r="K610" s="40" t="n">
        <f aca="false">IF(G610="",0,G610-I610-IF(J610="",0,J610))</f>
        <v>0</v>
      </c>
      <c r="L610" s="40" t="n">
        <f aca="false">IF(O610="",0,IFERROR(INDEX(Purchases!I:I,MATCH(O610*1,Purchases!A:A,0)),0))</f>
        <v>0</v>
      </c>
      <c r="M610" s="40" t="n">
        <f aca="false">IF(G610="",0,K610-L610)</f>
        <v>0</v>
      </c>
      <c r="N610" s="48" t="str">
        <f aca="false">IFERROR(IF(G610="","",M610/G610),"")</f>
        <v/>
      </c>
      <c r="O610" s="39"/>
      <c r="P610" s="39"/>
      <c r="Q610" s="39"/>
      <c r="R610" s="39"/>
      <c r="S610" s="48" t="n">
        <f aca="false">IFERROR(VLOOKUP(H610,Settings!B14:C25,2,FALSE()),0)</f>
        <v>0</v>
      </c>
    </row>
    <row r="611" customFormat="false" ht="15" hidden="false" customHeight="false" outlineLevel="0" collapsed="false">
      <c r="A611" s="41" t="str">
        <f aca="false">IF(B611="","",ROW()-3)</f>
        <v/>
      </c>
      <c r="B611" s="42"/>
      <c r="G611" s="44"/>
      <c r="I611" s="44" t="n">
        <f aca="false">IF(G611="",0,G611*S611)</f>
        <v>0</v>
      </c>
      <c r="J611" s="44"/>
      <c r="K611" s="44" t="n">
        <f aca="false">IF(G611="",0,G611-I611-IF(J611="",0,J611))</f>
        <v>0</v>
      </c>
      <c r="L611" s="44" t="n">
        <f aca="false">IF(O611="",0,IFERROR(INDEX(Purchases!I:I,MATCH(O611*1,Purchases!A:A,0)),0))</f>
        <v>0</v>
      </c>
      <c r="M611" s="44" t="n">
        <f aca="false">IF(G611="",0,K611-L611)</f>
        <v>0</v>
      </c>
      <c r="N611" s="49" t="str">
        <f aca="false">IFERROR(IF(G611="","",M611/G611),"")</f>
        <v/>
      </c>
      <c r="S611" s="49" t="n">
        <f aca="false">IFERROR(VLOOKUP(H611,Settings!B14:C25,2,FALSE()),0)</f>
        <v>0</v>
      </c>
    </row>
    <row r="612" customFormat="false" ht="15" hidden="false" customHeight="false" outlineLevel="0" collapsed="false">
      <c r="A612" s="37" t="str">
        <f aca="false">IF(B612="","",ROW()-3)</f>
        <v/>
      </c>
      <c r="B612" s="38"/>
      <c r="C612" s="39"/>
      <c r="D612" s="39"/>
      <c r="E612" s="39"/>
      <c r="F612" s="39"/>
      <c r="G612" s="40"/>
      <c r="H612" s="39"/>
      <c r="I612" s="40" t="n">
        <f aca="false">IF(G612="",0,G612*S612)</f>
        <v>0</v>
      </c>
      <c r="J612" s="40"/>
      <c r="K612" s="40" t="n">
        <f aca="false">IF(G612="",0,G612-I612-IF(J612="",0,J612))</f>
        <v>0</v>
      </c>
      <c r="L612" s="40" t="n">
        <f aca="false">IF(O612="",0,IFERROR(INDEX(Purchases!I:I,MATCH(O612*1,Purchases!A:A,0)),0))</f>
        <v>0</v>
      </c>
      <c r="M612" s="40" t="n">
        <f aca="false">IF(G612="",0,K612-L612)</f>
        <v>0</v>
      </c>
      <c r="N612" s="48" t="str">
        <f aca="false">IFERROR(IF(G612="","",M612/G612),"")</f>
        <v/>
      </c>
      <c r="O612" s="39"/>
      <c r="P612" s="39"/>
      <c r="Q612" s="39"/>
      <c r="R612" s="39"/>
      <c r="S612" s="48" t="n">
        <f aca="false">IFERROR(VLOOKUP(H612,Settings!B14:C25,2,FALSE()),0)</f>
        <v>0</v>
      </c>
    </row>
    <row r="613" customFormat="false" ht="15" hidden="false" customHeight="false" outlineLevel="0" collapsed="false">
      <c r="A613" s="41" t="str">
        <f aca="false">IF(B613="","",ROW()-3)</f>
        <v/>
      </c>
      <c r="B613" s="42"/>
      <c r="G613" s="44"/>
      <c r="I613" s="44" t="n">
        <f aca="false">IF(G613="",0,G613*S613)</f>
        <v>0</v>
      </c>
      <c r="J613" s="44"/>
      <c r="K613" s="44" t="n">
        <f aca="false">IF(G613="",0,G613-I613-IF(J613="",0,J613))</f>
        <v>0</v>
      </c>
      <c r="L613" s="44" t="n">
        <f aca="false">IF(O613="",0,IFERROR(INDEX(Purchases!I:I,MATCH(O613*1,Purchases!A:A,0)),0))</f>
        <v>0</v>
      </c>
      <c r="M613" s="44" t="n">
        <f aca="false">IF(G613="",0,K613-L613)</f>
        <v>0</v>
      </c>
      <c r="N613" s="49" t="str">
        <f aca="false">IFERROR(IF(G613="","",M613/G613),"")</f>
        <v/>
      </c>
      <c r="S613" s="49" t="n">
        <f aca="false">IFERROR(VLOOKUP(H613,Settings!B14:C25,2,FALSE()),0)</f>
        <v>0</v>
      </c>
    </row>
    <row r="614" customFormat="false" ht="15" hidden="false" customHeight="false" outlineLevel="0" collapsed="false">
      <c r="A614" s="37" t="str">
        <f aca="false">IF(B614="","",ROW()-3)</f>
        <v/>
      </c>
      <c r="B614" s="38"/>
      <c r="C614" s="39"/>
      <c r="D614" s="39"/>
      <c r="E614" s="39"/>
      <c r="F614" s="39"/>
      <c r="G614" s="40"/>
      <c r="H614" s="39"/>
      <c r="I614" s="40" t="n">
        <f aca="false">IF(G614="",0,G614*S614)</f>
        <v>0</v>
      </c>
      <c r="J614" s="40"/>
      <c r="K614" s="40" t="n">
        <f aca="false">IF(G614="",0,G614-I614-IF(J614="",0,J614))</f>
        <v>0</v>
      </c>
      <c r="L614" s="40" t="n">
        <f aca="false">IF(O614="",0,IFERROR(INDEX(Purchases!I:I,MATCH(O614*1,Purchases!A:A,0)),0))</f>
        <v>0</v>
      </c>
      <c r="M614" s="40" t="n">
        <f aca="false">IF(G614="",0,K614-L614)</f>
        <v>0</v>
      </c>
      <c r="N614" s="48" t="str">
        <f aca="false">IFERROR(IF(G614="","",M614/G614),"")</f>
        <v/>
      </c>
      <c r="O614" s="39"/>
      <c r="P614" s="39"/>
      <c r="Q614" s="39"/>
      <c r="R614" s="39"/>
      <c r="S614" s="48" t="n">
        <f aca="false">IFERROR(VLOOKUP(H614,Settings!B14:C25,2,FALSE()),0)</f>
        <v>0</v>
      </c>
    </row>
    <row r="615" customFormat="false" ht="15" hidden="false" customHeight="false" outlineLevel="0" collapsed="false">
      <c r="A615" s="41" t="str">
        <f aca="false">IF(B615="","",ROW()-3)</f>
        <v/>
      </c>
      <c r="B615" s="42"/>
      <c r="G615" s="44"/>
      <c r="I615" s="44" t="n">
        <f aca="false">IF(G615="",0,G615*S615)</f>
        <v>0</v>
      </c>
      <c r="J615" s="44"/>
      <c r="K615" s="44" t="n">
        <f aca="false">IF(G615="",0,G615-I615-IF(J615="",0,J615))</f>
        <v>0</v>
      </c>
      <c r="L615" s="44" t="n">
        <f aca="false">IF(O615="",0,IFERROR(INDEX(Purchases!I:I,MATCH(O615*1,Purchases!A:A,0)),0))</f>
        <v>0</v>
      </c>
      <c r="M615" s="44" t="n">
        <f aca="false">IF(G615="",0,K615-L615)</f>
        <v>0</v>
      </c>
      <c r="N615" s="49" t="str">
        <f aca="false">IFERROR(IF(G615="","",M615/G615),"")</f>
        <v/>
      </c>
      <c r="S615" s="49" t="n">
        <f aca="false">IFERROR(VLOOKUP(H615,Settings!B14:C25,2,FALSE()),0)</f>
        <v>0</v>
      </c>
    </row>
    <row r="616" customFormat="false" ht="15" hidden="false" customHeight="false" outlineLevel="0" collapsed="false">
      <c r="A616" s="37" t="str">
        <f aca="false">IF(B616="","",ROW()-3)</f>
        <v/>
      </c>
      <c r="B616" s="38"/>
      <c r="C616" s="39"/>
      <c r="D616" s="39"/>
      <c r="E616" s="39"/>
      <c r="F616" s="39"/>
      <c r="G616" s="40"/>
      <c r="H616" s="39"/>
      <c r="I616" s="40" t="n">
        <f aca="false">IF(G616="",0,G616*S616)</f>
        <v>0</v>
      </c>
      <c r="J616" s="40"/>
      <c r="K616" s="40" t="n">
        <f aca="false">IF(G616="",0,G616-I616-IF(J616="",0,J616))</f>
        <v>0</v>
      </c>
      <c r="L616" s="40" t="n">
        <f aca="false">IF(O616="",0,IFERROR(INDEX(Purchases!I:I,MATCH(O616*1,Purchases!A:A,0)),0))</f>
        <v>0</v>
      </c>
      <c r="M616" s="40" t="n">
        <f aca="false">IF(G616="",0,K616-L616)</f>
        <v>0</v>
      </c>
      <c r="N616" s="48" t="str">
        <f aca="false">IFERROR(IF(G616="","",M616/G616),"")</f>
        <v/>
      </c>
      <c r="O616" s="39"/>
      <c r="P616" s="39"/>
      <c r="Q616" s="39"/>
      <c r="R616" s="39"/>
      <c r="S616" s="48" t="n">
        <f aca="false">IFERROR(VLOOKUP(H616,Settings!B14:C25,2,FALSE()),0)</f>
        <v>0</v>
      </c>
    </row>
    <row r="617" customFormat="false" ht="15" hidden="false" customHeight="false" outlineLevel="0" collapsed="false">
      <c r="A617" s="41" t="str">
        <f aca="false">IF(B617="","",ROW()-3)</f>
        <v/>
      </c>
      <c r="B617" s="42"/>
      <c r="G617" s="44"/>
      <c r="I617" s="44" t="n">
        <f aca="false">IF(G617="",0,G617*S617)</f>
        <v>0</v>
      </c>
      <c r="J617" s="44"/>
      <c r="K617" s="44" t="n">
        <f aca="false">IF(G617="",0,G617-I617-IF(J617="",0,J617))</f>
        <v>0</v>
      </c>
      <c r="L617" s="44" t="n">
        <f aca="false">IF(O617="",0,IFERROR(INDEX(Purchases!I:I,MATCH(O617*1,Purchases!A:A,0)),0))</f>
        <v>0</v>
      </c>
      <c r="M617" s="44" t="n">
        <f aca="false">IF(G617="",0,K617-L617)</f>
        <v>0</v>
      </c>
      <c r="N617" s="49" t="str">
        <f aca="false">IFERROR(IF(G617="","",M617/G617),"")</f>
        <v/>
      </c>
      <c r="S617" s="49" t="n">
        <f aca="false">IFERROR(VLOOKUP(H617,Settings!B14:C25,2,FALSE()),0)</f>
        <v>0</v>
      </c>
    </row>
    <row r="618" customFormat="false" ht="15" hidden="false" customHeight="false" outlineLevel="0" collapsed="false">
      <c r="A618" s="37" t="str">
        <f aca="false">IF(B618="","",ROW()-3)</f>
        <v/>
      </c>
      <c r="B618" s="38"/>
      <c r="C618" s="39"/>
      <c r="D618" s="39"/>
      <c r="E618" s="39"/>
      <c r="F618" s="39"/>
      <c r="G618" s="40"/>
      <c r="H618" s="39"/>
      <c r="I618" s="40" t="n">
        <f aca="false">IF(G618="",0,G618*S618)</f>
        <v>0</v>
      </c>
      <c r="J618" s="40"/>
      <c r="K618" s="40" t="n">
        <f aca="false">IF(G618="",0,G618-I618-IF(J618="",0,J618))</f>
        <v>0</v>
      </c>
      <c r="L618" s="40" t="n">
        <f aca="false">IF(O618="",0,IFERROR(INDEX(Purchases!I:I,MATCH(O618*1,Purchases!A:A,0)),0))</f>
        <v>0</v>
      </c>
      <c r="M618" s="40" t="n">
        <f aca="false">IF(G618="",0,K618-L618)</f>
        <v>0</v>
      </c>
      <c r="N618" s="48" t="str">
        <f aca="false">IFERROR(IF(G618="","",M618/G618),"")</f>
        <v/>
      </c>
      <c r="O618" s="39"/>
      <c r="P618" s="39"/>
      <c r="Q618" s="39"/>
      <c r="R618" s="39"/>
      <c r="S618" s="48" t="n">
        <f aca="false">IFERROR(VLOOKUP(H618,Settings!B14:C25,2,FALSE()),0)</f>
        <v>0</v>
      </c>
    </row>
    <row r="619" customFormat="false" ht="15" hidden="false" customHeight="false" outlineLevel="0" collapsed="false">
      <c r="A619" s="41" t="str">
        <f aca="false">IF(B619="","",ROW()-3)</f>
        <v/>
      </c>
      <c r="B619" s="42"/>
      <c r="G619" s="44"/>
      <c r="I619" s="44" t="n">
        <f aca="false">IF(G619="",0,G619*S619)</f>
        <v>0</v>
      </c>
      <c r="J619" s="44"/>
      <c r="K619" s="44" t="n">
        <f aca="false">IF(G619="",0,G619-I619-IF(J619="",0,J619))</f>
        <v>0</v>
      </c>
      <c r="L619" s="44" t="n">
        <f aca="false">IF(O619="",0,IFERROR(INDEX(Purchases!I:I,MATCH(O619*1,Purchases!A:A,0)),0))</f>
        <v>0</v>
      </c>
      <c r="M619" s="44" t="n">
        <f aca="false">IF(G619="",0,K619-L619)</f>
        <v>0</v>
      </c>
      <c r="N619" s="49" t="str">
        <f aca="false">IFERROR(IF(G619="","",M619/G619),"")</f>
        <v/>
      </c>
      <c r="S619" s="49" t="n">
        <f aca="false">IFERROR(VLOOKUP(H619,Settings!B14:C25,2,FALSE()),0)</f>
        <v>0</v>
      </c>
    </row>
    <row r="620" customFormat="false" ht="15" hidden="false" customHeight="false" outlineLevel="0" collapsed="false">
      <c r="A620" s="37" t="str">
        <f aca="false">IF(B620="","",ROW()-3)</f>
        <v/>
      </c>
      <c r="B620" s="38"/>
      <c r="C620" s="39"/>
      <c r="D620" s="39"/>
      <c r="E620" s="39"/>
      <c r="F620" s="39"/>
      <c r="G620" s="40"/>
      <c r="H620" s="39"/>
      <c r="I620" s="40" t="n">
        <f aca="false">IF(G620="",0,G620*S620)</f>
        <v>0</v>
      </c>
      <c r="J620" s="40"/>
      <c r="K620" s="40" t="n">
        <f aca="false">IF(G620="",0,G620-I620-IF(J620="",0,J620))</f>
        <v>0</v>
      </c>
      <c r="L620" s="40" t="n">
        <f aca="false">IF(O620="",0,IFERROR(INDEX(Purchases!I:I,MATCH(O620*1,Purchases!A:A,0)),0))</f>
        <v>0</v>
      </c>
      <c r="M620" s="40" t="n">
        <f aca="false">IF(G620="",0,K620-L620)</f>
        <v>0</v>
      </c>
      <c r="N620" s="48" t="str">
        <f aca="false">IFERROR(IF(G620="","",M620/G620),"")</f>
        <v/>
      </c>
      <c r="O620" s="39"/>
      <c r="P620" s="39"/>
      <c r="Q620" s="39"/>
      <c r="R620" s="39"/>
      <c r="S620" s="48" t="n">
        <f aca="false">IFERROR(VLOOKUP(H620,Settings!B14:C25,2,FALSE()),0)</f>
        <v>0</v>
      </c>
    </row>
    <row r="621" customFormat="false" ht="15" hidden="false" customHeight="false" outlineLevel="0" collapsed="false">
      <c r="A621" s="41" t="str">
        <f aca="false">IF(B621="","",ROW()-3)</f>
        <v/>
      </c>
      <c r="B621" s="42"/>
      <c r="G621" s="44"/>
      <c r="I621" s="44" t="n">
        <f aca="false">IF(G621="",0,G621*S621)</f>
        <v>0</v>
      </c>
      <c r="J621" s="44"/>
      <c r="K621" s="44" t="n">
        <f aca="false">IF(G621="",0,G621-I621-IF(J621="",0,J621))</f>
        <v>0</v>
      </c>
      <c r="L621" s="44" t="n">
        <f aca="false">IF(O621="",0,IFERROR(INDEX(Purchases!I:I,MATCH(O621*1,Purchases!A:A,0)),0))</f>
        <v>0</v>
      </c>
      <c r="M621" s="44" t="n">
        <f aca="false">IF(G621="",0,K621-L621)</f>
        <v>0</v>
      </c>
      <c r="N621" s="49" t="str">
        <f aca="false">IFERROR(IF(G621="","",M621/G621),"")</f>
        <v/>
      </c>
      <c r="S621" s="49" t="n">
        <f aca="false">IFERROR(VLOOKUP(H621,Settings!B14:C25,2,FALSE()),0)</f>
        <v>0</v>
      </c>
    </row>
    <row r="622" customFormat="false" ht="15" hidden="false" customHeight="false" outlineLevel="0" collapsed="false">
      <c r="A622" s="37" t="str">
        <f aca="false">IF(B622="","",ROW()-3)</f>
        <v/>
      </c>
      <c r="B622" s="38"/>
      <c r="C622" s="39"/>
      <c r="D622" s="39"/>
      <c r="E622" s="39"/>
      <c r="F622" s="39"/>
      <c r="G622" s="40"/>
      <c r="H622" s="39"/>
      <c r="I622" s="40" t="n">
        <f aca="false">IF(G622="",0,G622*S622)</f>
        <v>0</v>
      </c>
      <c r="J622" s="40"/>
      <c r="K622" s="40" t="n">
        <f aca="false">IF(G622="",0,G622-I622-IF(J622="",0,J622))</f>
        <v>0</v>
      </c>
      <c r="L622" s="40" t="n">
        <f aca="false">IF(O622="",0,IFERROR(INDEX(Purchases!I:I,MATCH(O622*1,Purchases!A:A,0)),0))</f>
        <v>0</v>
      </c>
      <c r="M622" s="40" t="n">
        <f aca="false">IF(G622="",0,K622-L622)</f>
        <v>0</v>
      </c>
      <c r="N622" s="48" t="str">
        <f aca="false">IFERROR(IF(G622="","",M622/G622),"")</f>
        <v/>
      </c>
      <c r="O622" s="39"/>
      <c r="P622" s="39"/>
      <c r="Q622" s="39"/>
      <c r="R622" s="39"/>
      <c r="S622" s="48" t="n">
        <f aca="false">IFERROR(VLOOKUP(H622,Settings!B14:C25,2,FALSE()),0)</f>
        <v>0</v>
      </c>
    </row>
    <row r="623" customFormat="false" ht="15" hidden="false" customHeight="false" outlineLevel="0" collapsed="false">
      <c r="A623" s="41" t="str">
        <f aca="false">IF(B623="","",ROW()-3)</f>
        <v/>
      </c>
      <c r="B623" s="42"/>
      <c r="G623" s="44"/>
      <c r="I623" s="44" t="n">
        <f aca="false">IF(G623="",0,G623*S623)</f>
        <v>0</v>
      </c>
      <c r="J623" s="44"/>
      <c r="K623" s="44" t="n">
        <f aca="false">IF(G623="",0,G623-I623-IF(J623="",0,J623))</f>
        <v>0</v>
      </c>
      <c r="L623" s="44" t="n">
        <f aca="false">IF(O623="",0,IFERROR(INDEX(Purchases!I:I,MATCH(O623*1,Purchases!A:A,0)),0))</f>
        <v>0</v>
      </c>
      <c r="M623" s="44" t="n">
        <f aca="false">IF(G623="",0,K623-L623)</f>
        <v>0</v>
      </c>
      <c r="N623" s="49" t="str">
        <f aca="false">IFERROR(IF(G623="","",M623/G623),"")</f>
        <v/>
      </c>
      <c r="S623" s="49" t="n">
        <f aca="false">IFERROR(VLOOKUP(H623,Settings!B14:C25,2,FALSE()),0)</f>
        <v>0</v>
      </c>
    </row>
    <row r="624" customFormat="false" ht="15" hidden="false" customHeight="false" outlineLevel="0" collapsed="false">
      <c r="A624" s="37" t="str">
        <f aca="false">IF(B624="","",ROW()-3)</f>
        <v/>
      </c>
      <c r="B624" s="38"/>
      <c r="C624" s="39"/>
      <c r="D624" s="39"/>
      <c r="E624" s="39"/>
      <c r="F624" s="39"/>
      <c r="G624" s="40"/>
      <c r="H624" s="39"/>
      <c r="I624" s="40" t="n">
        <f aca="false">IF(G624="",0,G624*S624)</f>
        <v>0</v>
      </c>
      <c r="J624" s="40"/>
      <c r="K624" s="40" t="n">
        <f aca="false">IF(G624="",0,G624-I624-IF(J624="",0,J624))</f>
        <v>0</v>
      </c>
      <c r="L624" s="40" t="n">
        <f aca="false">IF(O624="",0,IFERROR(INDEX(Purchases!I:I,MATCH(O624*1,Purchases!A:A,0)),0))</f>
        <v>0</v>
      </c>
      <c r="M624" s="40" t="n">
        <f aca="false">IF(G624="",0,K624-L624)</f>
        <v>0</v>
      </c>
      <c r="N624" s="48" t="str">
        <f aca="false">IFERROR(IF(G624="","",M624/G624),"")</f>
        <v/>
      </c>
      <c r="O624" s="39"/>
      <c r="P624" s="39"/>
      <c r="Q624" s="39"/>
      <c r="R624" s="39"/>
      <c r="S624" s="48" t="n">
        <f aca="false">IFERROR(VLOOKUP(H624,Settings!B14:C25,2,FALSE()),0)</f>
        <v>0</v>
      </c>
    </row>
    <row r="625" customFormat="false" ht="15" hidden="false" customHeight="false" outlineLevel="0" collapsed="false">
      <c r="A625" s="41" t="str">
        <f aca="false">IF(B625="","",ROW()-3)</f>
        <v/>
      </c>
      <c r="B625" s="42"/>
      <c r="G625" s="44"/>
      <c r="I625" s="44" t="n">
        <f aca="false">IF(G625="",0,G625*S625)</f>
        <v>0</v>
      </c>
      <c r="J625" s="44"/>
      <c r="K625" s="44" t="n">
        <f aca="false">IF(G625="",0,G625-I625-IF(J625="",0,J625))</f>
        <v>0</v>
      </c>
      <c r="L625" s="44" t="n">
        <f aca="false">IF(O625="",0,IFERROR(INDEX(Purchases!I:I,MATCH(O625*1,Purchases!A:A,0)),0))</f>
        <v>0</v>
      </c>
      <c r="M625" s="44" t="n">
        <f aca="false">IF(G625="",0,K625-L625)</f>
        <v>0</v>
      </c>
      <c r="N625" s="49" t="str">
        <f aca="false">IFERROR(IF(G625="","",M625/G625),"")</f>
        <v/>
      </c>
      <c r="S625" s="49" t="n">
        <f aca="false">IFERROR(VLOOKUP(H625,Settings!B14:C25,2,FALSE()),0)</f>
        <v>0</v>
      </c>
    </row>
    <row r="626" customFormat="false" ht="15" hidden="false" customHeight="false" outlineLevel="0" collapsed="false">
      <c r="A626" s="37" t="str">
        <f aca="false">IF(B626="","",ROW()-3)</f>
        <v/>
      </c>
      <c r="B626" s="38"/>
      <c r="C626" s="39"/>
      <c r="D626" s="39"/>
      <c r="E626" s="39"/>
      <c r="F626" s="39"/>
      <c r="G626" s="40"/>
      <c r="H626" s="39"/>
      <c r="I626" s="40" t="n">
        <f aca="false">IF(G626="",0,G626*S626)</f>
        <v>0</v>
      </c>
      <c r="J626" s="40"/>
      <c r="K626" s="40" t="n">
        <f aca="false">IF(G626="",0,G626-I626-IF(J626="",0,J626))</f>
        <v>0</v>
      </c>
      <c r="L626" s="40" t="n">
        <f aca="false">IF(O626="",0,IFERROR(INDEX(Purchases!I:I,MATCH(O626*1,Purchases!A:A,0)),0))</f>
        <v>0</v>
      </c>
      <c r="M626" s="40" t="n">
        <f aca="false">IF(G626="",0,K626-L626)</f>
        <v>0</v>
      </c>
      <c r="N626" s="48" t="str">
        <f aca="false">IFERROR(IF(G626="","",M626/G626),"")</f>
        <v/>
      </c>
      <c r="O626" s="39"/>
      <c r="P626" s="39"/>
      <c r="Q626" s="39"/>
      <c r="R626" s="39"/>
      <c r="S626" s="48" t="n">
        <f aca="false">IFERROR(VLOOKUP(H626,Settings!B14:C25,2,FALSE()),0)</f>
        <v>0</v>
      </c>
    </row>
    <row r="627" customFormat="false" ht="15" hidden="false" customHeight="false" outlineLevel="0" collapsed="false">
      <c r="A627" s="41" t="str">
        <f aca="false">IF(B627="","",ROW()-3)</f>
        <v/>
      </c>
      <c r="B627" s="42"/>
      <c r="G627" s="44"/>
      <c r="I627" s="44" t="n">
        <f aca="false">IF(G627="",0,G627*S627)</f>
        <v>0</v>
      </c>
      <c r="J627" s="44"/>
      <c r="K627" s="44" t="n">
        <f aca="false">IF(G627="",0,G627-I627-IF(J627="",0,J627))</f>
        <v>0</v>
      </c>
      <c r="L627" s="44" t="n">
        <f aca="false">IF(O627="",0,IFERROR(INDEX(Purchases!I:I,MATCH(O627*1,Purchases!A:A,0)),0))</f>
        <v>0</v>
      </c>
      <c r="M627" s="44" t="n">
        <f aca="false">IF(G627="",0,K627-L627)</f>
        <v>0</v>
      </c>
      <c r="N627" s="49" t="str">
        <f aca="false">IFERROR(IF(G627="","",M627/G627),"")</f>
        <v/>
      </c>
      <c r="S627" s="49" t="n">
        <f aca="false">IFERROR(VLOOKUP(H627,Settings!B14:C25,2,FALSE()),0)</f>
        <v>0</v>
      </c>
    </row>
    <row r="628" customFormat="false" ht="15" hidden="false" customHeight="false" outlineLevel="0" collapsed="false">
      <c r="A628" s="37" t="str">
        <f aca="false">IF(B628="","",ROW()-3)</f>
        <v/>
      </c>
      <c r="B628" s="38"/>
      <c r="C628" s="39"/>
      <c r="D628" s="39"/>
      <c r="E628" s="39"/>
      <c r="F628" s="39"/>
      <c r="G628" s="40"/>
      <c r="H628" s="39"/>
      <c r="I628" s="40" t="n">
        <f aca="false">IF(G628="",0,G628*S628)</f>
        <v>0</v>
      </c>
      <c r="J628" s="40"/>
      <c r="K628" s="40" t="n">
        <f aca="false">IF(G628="",0,G628-I628-IF(J628="",0,J628))</f>
        <v>0</v>
      </c>
      <c r="L628" s="40" t="n">
        <f aca="false">IF(O628="",0,IFERROR(INDEX(Purchases!I:I,MATCH(O628*1,Purchases!A:A,0)),0))</f>
        <v>0</v>
      </c>
      <c r="M628" s="40" t="n">
        <f aca="false">IF(G628="",0,K628-L628)</f>
        <v>0</v>
      </c>
      <c r="N628" s="48" t="str">
        <f aca="false">IFERROR(IF(G628="","",M628/G628),"")</f>
        <v/>
      </c>
      <c r="O628" s="39"/>
      <c r="P628" s="39"/>
      <c r="Q628" s="39"/>
      <c r="R628" s="39"/>
      <c r="S628" s="48" t="n">
        <f aca="false">IFERROR(VLOOKUP(H628,Settings!B14:C25,2,FALSE()),0)</f>
        <v>0</v>
      </c>
    </row>
    <row r="629" customFormat="false" ht="15" hidden="false" customHeight="false" outlineLevel="0" collapsed="false">
      <c r="A629" s="41" t="str">
        <f aca="false">IF(B629="","",ROW()-3)</f>
        <v/>
      </c>
      <c r="B629" s="42"/>
      <c r="G629" s="44"/>
      <c r="I629" s="44" t="n">
        <f aca="false">IF(G629="",0,G629*S629)</f>
        <v>0</v>
      </c>
      <c r="J629" s="44"/>
      <c r="K629" s="44" t="n">
        <f aca="false">IF(G629="",0,G629-I629-IF(J629="",0,J629))</f>
        <v>0</v>
      </c>
      <c r="L629" s="44" t="n">
        <f aca="false">IF(O629="",0,IFERROR(INDEX(Purchases!I:I,MATCH(O629*1,Purchases!A:A,0)),0))</f>
        <v>0</v>
      </c>
      <c r="M629" s="44" t="n">
        <f aca="false">IF(G629="",0,K629-L629)</f>
        <v>0</v>
      </c>
      <c r="N629" s="49" t="str">
        <f aca="false">IFERROR(IF(G629="","",M629/G629),"")</f>
        <v/>
      </c>
      <c r="S629" s="49" t="n">
        <f aca="false">IFERROR(VLOOKUP(H629,Settings!B14:C25,2,FALSE()),0)</f>
        <v>0</v>
      </c>
    </row>
    <row r="630" customFormat="false" ht="15" hidden="false" customHeight="false" outlineLevel="0" collapsed="false">
      <c r="A630" s="37" t="str">
        <f aca="false">IF(B630="","",ROW()-3)</f>
        <v/>
      </c>
      <c r="B630" s="38"/>
      <c r="C630" s="39"/>
      <c r="D630" s="39"/>
      <c r="E630" s="39"/>
      <c r="F630" s="39"/>
      <c r="G630" s="40"/>
      <c r="H630" s="39"/>
      <c r="I630" s="40" t="n">
        <f aca="false">IF(G630="",0,G630*S630)</f>
        <v>0</v>
      </c>
      <c r="J630" s="40"/>
      <c r="K630" s="40" t="n">
        <f aca="false">IF(G630="",0,G630-I630-IF(J630="",0,J630))</f>
        <v>0</v>
      </c>
      <c r="L630" s="40" t="n">
        <f aca="false">IF(O630="",0,IFERROR(INDEX(Purchases!I:I,MATCH(O630*1,Purchases!A:A,0)),0))</f>
        <v>0</v>
      </c>
      <c r="M630" s="40" t="n">
        <f aca="false">IF(G630="",0,K630-L630)</f>
        <v>0</v>
      </c>
      <c r="N630" s="48" t="str">
        <f aca="false">IFERROR(IF(G630="","",M630/G630),"")</f>
        <v/>
      </c>
      <c r="O630" s="39"/>
      <c r="P630" s="39"/>
      <c r="Q630" s="39"/>
      <c r="R630" s="39"/>
      <c r="S630" s="48" t="n">
        <f aca="false">IFERROR(VLOOKUP(H630,Settings!B14:C25,2,FALSE()),0)</f>
        <v>0</v>
      </c>
    </row>
    <row r="631" customFormat="false" ht="15" hidden="false" customHeight="false" outlineLevel="0" collapsed="false">
      <c r="A631" s="41" t="str">
        <f aca="false">IF(B631="","",ROW()-3)</f>
        <v/>
      </c>
      <c r="B631" s="42"/>
      <c r="G631" s="44"/>
      <c r="I631" s="44" t="n">
        <f aca="false">IF(G631="",0,G631*S631)</f>
        <v>0</v>
      </c>
      <c r="J631" s="44"/>
      <c r="K631" s="44" t="n">
        <f aca="false">IF(G631="",0,G631-I631-IF(J631="",0,J631))</f>
        <v>0</v>
      </c>
      <c r="L631" s="44" t="n">
        <f aca="false">IF(O631="",0,IFERROR(INDEX(Purchases!I:I,MATCH(O631*1,Purchases!A:A,0)),0))</f>
        <v>0</v>
      </c>
      <c r="M631" s="44" t="n">
        <f aca="false">IF(G631="",0,K631-L631)</f>
        <v>0</v>
      </c>
      <c r="N631" s="49" t="str">
        <f aca="false">IFERROR(IF(G631="","",M631/G631),"")</f>
        <v/>
      </c>
      <c r="S631" s="49" t="n">
        <f aca="false">IFERROR(VLOOKUP(H631,Settings!B14:C25,2,FALSE()),0)</f>
        <v>0</v>
      </c>
    </row>
    <row r="632" customFormat="false" ht="15" hidden="false" customHeight="false" outlineLevel="0" collapsed="false">
      <c r="A632" s="37" t="str">
        <f aca="false">IF(B632="","",ROW()-3)</f>
        <v/>
      </c>
      <c r="B632" s="38"/>
      <c r="C632" s="39"/>
      <c r="D632" s="39"/>
      <c r="E632" s="39"/>
      <c r="F632" s="39"/>
      <c r="G632" s="40"/>
      <c r="H632" s="39"/>
      <c r="I632" s="40" t="n">
        <f aca="false">IF(G632="",0,G632*S632)</f>
        <v>0</v>
      </c>
      <c r="J632" s="40"/>
      <c r="K632" s="40" t="n">
        <f aca="false">IF(G632="",0,G632-I632-IF(J632="",0,J632))</f>
        <v>0</v>
      </c>
      <c r="L632" s="40" t="n">
        <f aca="false">IF(O632="",0,IFERROR(INDEX(Purchases!I:I,MATCH(O632*1,Purchases!A:A,0)),0))</f>
        <v>0</v>
      </c>
      <c r="M632" s="40" t="n">
        <f aca="false">IF(G632="",0,K632-L632)</f>
        <v>0</v>
      </c>
      <c r="N632" s="48" t="str">
        <f aca="false">IFERROR(IF(G632="","",M632/G632),"")</f>
        <v/>
      </c>
      <c r="O632" s="39"/>
      <c r="P632" s="39"/>
      <c r="Q632" s="39"/>
      <c r="R632" s="39"/>
      <c r="S632" s="48" t="n">
        <f aca="false">IFERROR(VLOOKUP(H632,Settings!B14:C25,2,FALSE()),0)</f>
        <v>0</v>
      </c>
    </row>
    <row r="633" customFormat="false" ht="15" hidden="false" customHeight="false" outlineLevel="0" collapsed="false">
      <c r="A633" s="41" t="str">
        <f aca="false">IF(B633="","",ROW()-3)</f>
        <v/>
      </c>
      <c r="B633" s="42"/>
      <c r="G633" s="44"/>
      <c r="I633" s="44" t="n">
        <f aca="false">IF(G633="",0,G633*S633)</f>
        <v>0</v>
      </c>
      <c r="J633" s="44"/>
      <c r="K633" s="44" t="n">
        <f aca="false">IF(G633="",0,G633-I633-IF(J633="",0,J633))</f>
        <v>0</v>
      </c>
      <c r="L633" s="44" t="n">
        <f aca="false">IF(O633="",0,IFERROR(INDEX(Purchases!I:I,MATCH(O633*1,Purchases!A:A,0)),0))</f>
        <v>0</v>
      </c>
      <c r="M633" s="44" t="n">
        <f aca="false">IF(G633="",0,K633-L633)</f>
        <v>0</v>
      </c>
      <c r="N633" s="49" t="str">
        <f aca="false">IFERROR(IF(G633="","",M633/G633),"")</f>
        <v/>
      </c>
      <c r="S633" s="49" t="n">
        <f aca="false">IFERROR(VLOOKUP(H633,Settings!B14:C25,2,FALSE()),0)</f>
        <v>0</v>
      </c>
    </row>
    <row r="634" customFormat="false" ht="15" hidden="false" customHeight="false" outlineLevel="0" collapsed="false">
      <c r="A634" s="37" t="str">
        <f aca="false">IF(B634="","",ROW()-3)</f>
        <v/>
      </c>
      <c r="B634" s="38"/>
      <c r="C634" s="39"/>
      <c r="D634" s="39"/>
      <c r="E634" s="39"/>
      <c r="F634" s="39"/>
      <c r="G634" s="40"/>
      <c r="H634" s="39"/>
      <c r="I634" s="40" t="n">
        <f aca="false">IF(G634="",0,G634*S634)</f>
        <v>0</v>
      </c>
      <c r="J634" s="40"/>
      <c r="K634" s="40" t="n">
        <f aca="false">IF(G634="",0,G634-I634-IF(J634="",0,J634))</f>
        <v>0</v>
      </c>
      <c r="L634" s="40" t="n">
        <f aca="false">IF(O634="",0,IFERROR(INDEX(Purchases!I:I,MATCH(O634*1,Purchases!A:A,0)),0))</f>
        <v>0</v>
      </c>
      <c r="M634" s="40" t="n">
        <f aca="false">IF(G634="",0,K634-L634)</f>
        <v>0</v>
      </c>
      <c r="N634" s="48" t="str">
        <f aca="false">IFERROR(IF(G634="","",M634/G634),"")</f>
        <v/>
      </c>
      <c r="O634" s="39"/>
      <c r="P634" s="39"/>
      <c r="Q634" s="39"/>
      <c r="R634" s="39"/>
      <c r="S634" s="48" t="n">
        <f aca="false">IFERROR(VLOOKUP(H634,Settings!B14:C25,2,FALSE()),0)</f>
        <v>0</v>
      </c>
    </row>
    <row r="635" customFormat="false" ht="15" hidden="false" customHeight="false" outlineLevel="0" collapsed="false">
      <c r="A635" s="41" t="str">
        <f aca="false">IF(B635="","",ROW()-3)</f>
        <v/>
      </c>
      <c r="B635" s="42"/>
      <c r="G635" s="44"/>
      <c r="I635" s="44" t="n">
        <f aca="false">IF(G635="",0,G635*S635)</f>
        <v>0</v>
      </c>
      <c r="J635" s="44"/>
      <c r="K635" s="44" t="n">
        <f aca="false">IF(G635="",0,G635-I635-IF(J635="",0,J635))</f>
        <v>0</v>
      </c>
      <c r="L635" s="44" t="n">
        <f aca="false">IF(O635="",0,IFERROR(INDEX(Purchases!I:I,MATCH(O635*1,Purchases!A:A,0)),0))</f>
        <v>0</v>
      </c>
      <c r="M635" s="44" t="n">
        <f aca="false">IF(G635="",0,K635-L635)</f>
        <v>0</v>
      </c>
      <c r="N635" s="49" t="str">
        <f aca="false">IFERROR(IF(G635="","",M635/G635),"")</f>
        <v/>
      </c>
      <c r="S635" s="49" t="n">
        <f aca="false">IFERROR(VLOOKUP(H635,Settings!B14:C25,2,FALSE()),0)</f>
        <v>0</v>
      </c>
    </row>
    <row r="636" customFormat="false" ht="15" hidden="false" customHeight="false" outlineLevel="0" collapsed="false">
      <c r="A636" s="37" t="str">
        <f aca="false">IF(B636="","",ROW()-3)</f>
        <v/>
      </c>
      <c r="B636" s="38"/>
      <c r="C636" s="39"/>
      <c r="D636" s="39"/>
      <c r="E636" s="39"/>
      <c r="F636" s="39"/>
      <c r="G636" s="40"/>
      <c r="H636" s="39"/>
      <c r="I636" s="40" t="n">
        <f aca="false">IF(G636="",0,G636*S636)</f>
        <v>0</v>
      </c>
      <c r="J636" s="40"/>
      <c r="K636" s="40" t="n">
        <f aca="false">IF(G636="",0,G636-I636-IF(J636="",0,J636))</f>
        <v>0</v>
      </c>
      <c r="L636" s="40" t="n">
        <f aca="false">IF(O636="",0,IFERROR(INDEX(Purchases!I:I,MATCH(O636*1,Purchases!A:A,0)),0))</f>
        <v>0</v>
      </c>
      <c r="M636" s="40" t="n">
        <f aca="false">IF(G636="",0,K636-L636)</f>
        <v>0</v>
      </c>
      <c r="N636" s="48" t="str">
        <f aca="false">IFERROR(IF(G636="","",M636/G636),"")</f>
        <v/>
      </c>
      <c r="O636" s="39"/>
      <c r="P636" s="39"/>
      <c r="Q636" s="39"/>
      <c r="R636" s="39"/>
      <c r="S636" s="48" t="n">
        <f aca="false">IFERROR(VLOOKUP(H636,Settings!B14:C25,2,FALSE()),0)</f>
        <v>0</v>
      </c>
    </row>
    <row r="637" customFormat="false" ht="15" hidden="false" customHeight="false" outlineLevel="0" collapsed="false">
      <c r="A637" s="41" t="str">
        <f aca="false">IF(B637="","",ROW()-3)</f>
        <v/>
      </c>
      <c r="B637" s="42"/>
      <c r="G637" s="44"/>
      <c r="I637" s="44" t="n">
        <f aca="false">IF(G637="",0,G637*S637)</f>
        <v>0</v>
      </c>
      <c r="J637" s="44"/>
      <c r="K637" s="44" t="n">
        <f aca="false">IF(G637="",0,G637-I637-IF(J637="",0,J637))</f>
        <v>0</v>
      </c>
      <c r="L637" s="44" t="n">
        <f aca="false">IF(O637="",0,IFERROR(INDEX(Purchases!I:I,MATCH(O637*1,Purchases!A:A,0)),0))</f>
        <v>0</v>
      </c>
      <c r="M637" s="44" t="n">
        <f aca="false">IF(G637="",0,K637-L637)</f>
        <v>0</v>
      </c>
      <c r="N637" s="49" t="str">
        <f aca="false">IFERROR(IF(G637="","",M637/G637),"")</f>
        <v/>
      </c>
      <c r="S637" s="49" t="n">
        <f aca="false">IFERROR(VLOOKUP(H637,Settings!B14:C25,2,FALSE()),0)</f>
        <v>0</v>
      </c>
    </row>
    <row r="638" customFormat="false" ht="15" hidden="false" customHeight="false" outlineLevel="0" collapsed="false">
      <c r="A638" s="37" t="str">
        <f aca="false">IF(B638="","",ROW()-3)</f>
        <v/>
      </c>
      <c r="B638" s="38"/>
      <c r="C638" s="39"/>
      <c r="D638" s="39"/>
      <c r="E638" s="39"/>
      <c r="F638" s="39"/>
      <c r="G638" s="40"/>
      <c r="H638" s="39"/>
      <c r="I638" s="40" t="n">
        <f aca="false">IF(G638="",0,G638*S638)</f>
        <v>0</v>
      </c>
      <c r="J638" s="40"/>
      <c r="K638" s="40" t="n">
        <f aca="false">IF(G638="",0,G638-I638-IF(J638="",0,J638))</f>
        <v>0</v>
      </c>
      <c r="L638" s="40" t="n">
        <f aca="false">IF(O638="",0,IFERROR(INDEX(Purchases!I:I,MATCH(O638*1,Purchases!A:A,0)),0))</f>
        <v>0</v>
      </c>
      <c r="M638" s="40" t="n">
        <f aca="false">IF(G638="",0,K638-L638)</f>
        <v>0</v>
      </c>
      <c r="N638" s="48" t="str">
        <f aca="false">IFERROR(IF(G638="","",M638/G638),"")</f>
        <v/>
      </c>
      <c r="O638" s="39"/>
      <c r="P638" s="39"/>
      <c r="Q638" s="39"/>
      <c r="R638" s="39"/>
      <c r="S638" s="48" t="n">
        <f aca="false">IFERROR(VLOOKUP(H638,Settings!B14:C25,2,FALSE()),0)</f>
        <v>0</v>
      </c>
    </row>
    <row r="639" customFormat="false" ht="15" hidden="false" customHeight="false" outlineLevel="0" collapsed="false">
      <c r="A639" s="41" t="str">
        <f aca="false">IF(B639="","",ROW()-3)</f>
        <v/>
      </c>
      <c r="B639" s="42"/>
      <c r="G639" s="44"/>
      <c r="I639" s="44" t="n">
        <f aca="false">IF(G639="",0,G639*S639)</f>
        <v>0</v>
      </c>
      <c r="J639" s="44"/>
      <c r="K639" s="44" t="n">
        <f aca="false">IF(G639="",0,G639-I639-IF(J639="",0,J639))</f>
        <v>0</v>
      </c>
      <c r="L639" s="44" t="n">
        <f aca="false">IF(O639="",0,IFERROR(INDEX(Purchases!I:I,MATCH(O639*1,Purchases!A:A,0)),0))</f>
        <v>0</v>
      </c>
      <c r="M639" s="44" t="n">
        <f aca="false">IF(G639="",0,K639-L639)</f>
        <v>0</v>
      </c>
      <c r="N639" s="49" t="str">
        <f aca="false">IFERROR(IF(G639="","",M639/G639),"")</f>
        <v/>
      </c>
      <c r="S639" s="49" t="n">
        <f aca="false">IFERROR(VLOOKUP(H639,Settings!B14:C25,2,FALSE()),0)</f>
        <v>0</v>
      </c>
    </row>
    <row r="640" customFormat="false" ht="15" hidden="false" customHeight="false" outlineLevel="0" collapsed="false">
      <c r="A640" s="37" t="str">
        <f aca="false">IF(B640="","",ROW()-3)</f>
        <v/>
      </c>
      <c r="B640" s="38"/>
      <c r="C640" s="39"/>
      <c r="D640" s="39"/>
      <c r="E640" s="39"/>
      <c r="F640" s="39"/>
      <c r="G640" s="40"/>
      <c r="H640" s="39"/>
      <c r="I640" s="40" t="n">
        <f aca="false">IF(G640="",0,G640*S640)</f>
        <v>0</v>
      </c>
      <c r="J640" s="40"/>
      <c r="K640" s="40" t="n">
        <f aca="false">IF(G640="",0,G640-I640-IF(J640="",0,J640))</f>
        <v>0</v>
      </c>
      <c r="L640" s="40" t="n">
        <f aca="false">IF(O640="",0,IFERROR(INDEX(Purchases!I:I,MATCH(O640*1,Purchases!A:A,0)),0))</f>
        <v>0</v>
      </c>
      <c r="M640" s="40" t="n">
        <f aca="false">IF(G640="",0,K640-L640)</f>
        <v>0</v>
      </c>
      <c r="N640" s="48" t="str">
        <f aca="false">IFERROR(IF(G640="","",M640/G640),"")</f>
        <v/>
      </c>
      <c r="O640" s="39"/>
      <c r="P640" s="39"/>
      <c r="Q640" s="39"/>
      <c r="R640" s="39"/>
      <c r="S640" s="48" t="n">
        <f aca="false">IFERROR(VLOOKUP(H640,Settings!B14:C25,2,FALSE()),0)</f>
        <v>0</v>
      </c>
    </row>
    <row r="641" customFormat="false" ht="15" hidden="false" customHeight="false" outlineLevel="0" collapsed="false">
      <c r="A641" s="41" t="str">
        <f aca="false">IF(B641="","",ROW()-3)</f>
        <v/>
      </c>
      <c r="B641" s="42"/>
      <c r="G641" s="44"/>
      <c r="I641" s="44" t="n">
        <f aca="false">IF(G641="",0,G641*S641)</f>
        <v>0</v>
      </c>
      <c r="J641" s="44"/>
      <c r="K641" s="44" t="n">
        <f aca="false">IF(G641="",0,G641-I641-IF(J641="",0,J641))</f>
        <v>0</v>
      </c>
      <c r="L641" s="44" t="n">
        <f aca="false">IF(O641="",0,IFERROR(INDEX(Purchases!I:I,MATCH(O641*1,Purchases!A:A,0)),0))</f>
        <v>0</v>
      </c>
      <c r="M641" s="44" t="n">
        <f aca="false">IF(G641="",0,K641-L641)</f>
        <v>0</v>
      </c>
      <c r="N641" s="49" t="str">
        <f aca="false">IFERROR(IF(G641="","",M641/G641),"")</f>
        <v/>
      </c>
      <c r="S641" s="49" t="n">
        <f aca="false">IFERROR(VLOOKUP(H641,Settings!B14:C25,2,FALSE()),0)</f>
        <v>0</v>
      </c>
    </row>
    <row r="642" customFormat="false" ht="15" hidden="false" customHeight="false" outlineLevel="0" collapsed="false">
      <c r="A642" s="37" t="str">
        <f aca="false">IF(B642="","",ROW()-3)</f>
        <v/>
      </c>
      <c r="B642" s="38"/>
      <c r="C642" s="39"/>
      <c r="D642" s="39"/>
      <c r="E642" s="39"/>
      <c r="F642" s="39"/>
      <c r="G642" s="40"/>
      <c r="H642" s="39"/>
      <c r="I642" s="40" t="n">
        <f aca="false">IF(G642="",0,G642*S642)</f>
        <v>0</v>
      </c>
      <c r="J642" s="40"/>
      <c r="K642" s="40" t="n">
        <f aca="false">IF(G642="",0,G642-I642-IF(J642="",0,J642))</f>
        <v>0</v>
      </c>
      <c r="L642" s="40" t="n">
        <f aca="false">IF(O642="",0,IFERROR(INDEX(Purchases!I:I,MATCH(O642*1,Purchases!A:A,0)),0))</f>
        <v>0</v>
      </c>
      <c r="M642" s="40" t="n">
        <f aca="false">IF(G642="",0,K642-L642)</f>
        <v>0</v>
      </c>
      <c r="N642" s="48" t="str">
        <f aca="false">IFERROR(IF(G642="","",M642/G642),"")</f>
        <v/>
      </c>
      <c r="O642" s="39"/>
      <c r="P642" s="39"/>
      <c r="Q642" s="39"/>
      <c r="R642" s="39"/>
      <c r="S642" s="48" t="n">
        <f aca="false">IFERROR(VLOOKUP(H642,Settings!B14:C25,2,FALSE()),0)</f>
        <v>0</v>
      </c>
    </row>
    <row r="643" customFormat="false" ht="15" hidden="false" customHeight="false" outlineLevel="0" collapsed="false">
      <c r="A643" s="41" t="str">
        <f aca="false">IF(B643="","",ROW()-3)</f>
        <v/>
      </c>
      <c r="B643" s="42"/>
      <c r="G643" s="44"/>
      <c r="I643" s="44" t="n">
        <f aca="false">IF(G643="",0,G643*S643)</f>
        <v>0</v>
      </c>
      <c r="J643" s="44"/>
      <c r="K643" s="44" t="n">
        <f aca="false">IF(G643="",0,G643-I643-IF(J643="",0,J643))</f>
        <v>0</v>
      </c>
      <c r="L643" s="44" t="n">
        <f aca="false">IF(O643="",0,IFERROR(INDEX(Purchases!I:I,MATCH(O643*1,Purchases!A:A,0)),0))</f>
        <v>0</v>
      </c>
      <c r="M643" s="44" t="n">
        <f aca="false">IF(G643="",0,K643-L643)</f>
        <v>0</v>
      </c>
      <c r="N643" s="49" t="str">
        <f aca="false">IFERROR(IF(G643="","",M643/G643),"")</f>
        <v/>
      </c>
      <c r="S643" s="49" t="n">
        <f aca="false">IFERROR(VLOOKUP(H643,Settings!B14:C25,2,FALSE()),0)</f>
        <v>0</v>
      </c>
    </row>
    <row r="644" customFormat="false" ht="15" hidden="false" customHeight="false" outlineLevel="0" collapsed="false">
      <c r="A644" s="37" t="str">
        <f aca="false">IF(B644="","",ROW()-3)</f>
        <v/>
      </c>
      <c r="B644" s="38"/>
      <c r="C644" s="39"/>
      <c r="D644" s="39"/>
      <c r="E644" s="39"/>
      <c r="F644" s="39"/>
      <c r="G644" s="40"/>
      <c r="H644" s="39"/>
      <c r="I644" s="40" t="n">
        <f aca="false">IF(G644="",0,G644*S644)</f>
        <v>0</v>
      </c>
      <c r="J644" s="40"/>
      <c r="K644" s="40" t="n">
        <f aca="false">IF(G644="",0,G644-I644-IF(J644="",0,J644))</f>
        <v>0</v>
      </c>
      <c r="L644" s="40" t="n">
        <f aca="false">IF(O644="",0,IFERROR(INDEX(Purchases!I:I,MATCH(O644*1,Purchases!A:A,0)),0))</f>
        <v>0</v>
      </c>
      <c r="M644" s="40" t="n">
        <f aca="false">IF(G644="",0,K644-L644)</f>
        <v>0</v>
      </c>
      <c r="N644" s="48" t="str">
        <f aca="false">IFERROR(IF(G644="","",M644/G644),"")</f>
        <v/>
      </c>
      <c r="O644" s="39"/>
      <c r="P644" s="39"/>
      <c r="Q644" s="39"/>
      <c r="R644" s="39"/>
      <c r="S644" s="48" t="n">
        <f aca="false">IFERROR(VLOOKUP(H644,Settings!B14:C25,2,FALSE()),0)</f>
        <v>0</v>
      </c>
    </row>
    <row r="645" customFormat="false" ht="15" hidden="false" customHeight="false" outlineLevel="0" collapsed="false">
      <c r="A645" s="41" t="str">
        <f aca="false">IF(B645="","",ROW()-3)</f>
        <v/>
      </c>
      <c r="B645" s="42"/>
      <c r="G645" s="44"/>
      <c r="I645" s="44" t="n">
        <f aca="false">IF(G645="",0,G645*S645)</f>
        <v>0</v>
      </c>
      <c r="J645" s="44"/>
      <c r="K645" s="44" t="n">
        <f aca="false">IF(G645="",0,G645-I645-IF(J645="",0,J645))</f>
        <v>0</v>
      </c>
      <c r="L645" s="44" t="n">
        <f aca="false">IF(O645="",0,IFERROR(INDEX(Purchases!I:I,MATCH(O645*1,Purchases!A:A,0)),0))</f>
        <v>0</v>
      </c>
      <c r="M645" s="44" t="n">
        <f aca="false">IF(G645="",0,K645-L645)</f>
        <v>0</v>
      </c>
      <c r="N645" s="49" t="str">
        <f aca="false">IFERROR(IF(G645="","",M645/G645),"")</f>
        <v/>
      </c>
      <c r="S645" s="49" t="n">
        <f aca="false">IFERROR(VLOOKUP(H645,Settings!B14:C25,2,FALSE()),0)</f>
        <v>0</v>
      </c>
    </row>
    <row r="646" customFormat="false" ht="15" hidden="false" customHeight="false" outlineLevel="0" collapsed="false">
      <c r="A646" s="37" t="str">
        <f aca="false">IF(B646="","",ROW()-3)</f>
        <v/>
      </c>
      <c r="B646" s="38"/>
      <c r="C646" s="39"/>
      <c r="D646" s="39"/>
      <c r="E646" s="39"/>
      <c r="F646" s="39"/>
      <c r="G646" s="40"/>
      <c r="H646" s="39"/>
      <c r="I646" s="40" t="n">
        <f aca="false">IF(G646="",0,G646*S646)</f>
        <v>0</v>
      </c>
      <c r="J646" s="40"/>
      <c r="K646" s="40" t="n">
        <f aca="false">IF(G646="",0,G646-I646-IF(J646="",0,J646))</f>
        <v>0</v>
      </c>
      <c r="L646" s="40" t="n">
        <f aca="false">IF(O646="",0,IFERROR(INDEX(Purchases!I:I,MATCH(O646*1,Purchases!A:A,0)),0))</f>
        <v>0</v>
      </c>
      <c r="M646" s="40" t="n">
        <f aca="false">IF(G646="",0,K646-L646)</f>
        <v>0</v>
      </c>
      <c r="N646" s="48" t="str">
        <f aca="false">IFERROR(IF(G646="","",M646/G646),"")</f>
        <v/>
      </c>
      <c r="O646" s="39"/>
      <c r="P646" s="39"/>
      <c r="Q646" s="39"/>
      <c r="R646" s="39"/>
      <c r="S646" s="48" t="n">
        <f aca="false">IFERROR(VLOOKUP(H646,Settings!B14:C25,2,FALSE()),0)</f>
        <v>0</v>
      </c>
    </row>
    <row r="647" customFormat="false" ht="15" hidden="false" customHeight="false" outlineLevel="0" collapsed="false">
      <c r="A647" s="41" t="str">
        <f aca="false">IF(B647="","",ROW()-3)</f>
        <v/>
      </c>
      <c r="B647" s="42"/>
      <c r="G647" s="44"/>
      <c r="I647" s="44" t="n">
        <f aca="false">IF(G647="",0,G647*S647)</f>
        <v>0</v>
      </c>
      <c r="J647" s="44"/>
      <c r="K647" s="44" t="n">
        <f aca="false">IF(G647="",0,G647-I647-IF(J647="",0,J647))</f>
        <v>0</v>
      </c>
      <c r="L647" s="44" t="n">
        <f aca="false">IF(O647="",0,IFERROR(INDEX(Purchases!I:I,MATCH(O647*1,Purchases!A:A,0)),0))</f>
        <v>0</v>
      </c>
      <c r="M647" s="44" t="n">
        <f aca="false">IF(G647="",0,K647-L647)</f>
        <v>0</v>
      </c>
      <c r="N647" s="49" t="str">
        <f aca="false">IFERROR(IF(G647="","",M647/G647),"")</f>
        <v/>
      </c>
      <c r="S647" s="49" t="n">
        <f aca="false">IFERROR(VLOOKUP(H647,Settings!B14:C25,2,FALSE()),0)</f>
        <v>0</v>
      </c>
    </row>
    <row r="648" customFormat="false" ht="15" hidden="false" customHeight="false" outlineLevel="0" collapsed="false">
      <c r="A648" s="37" t="str">
        <f aca="false">IF(B648="","",ROW()-3)</f>
        <v/>
      </c>
      <c r="B648" s="38"/>
      <c r="C648" s="39"/>
      <c r="D648" s="39"/>
      <c r="E648" s="39"/>
      <c r="F648" s="39"/>
      <c r="G648" s="40"/>
      <c r="H648" s="39"/>
      <c r="I648" s="40" t="n">
        <f aca="false">IF(G648="",0,G648*S648)</f>
        <v>0</v>
      </c>
      <c r="J648" s="40"/>
      <c r="K648" s="40" t="n">
        <f aca="false">IF(G648="",0,G648-I648-IF(J648="",0,J648))</f>
        <v>0</v>
      </c>
      <c r="L648" s="40" t="n">
        <f aca="false">IF(O648="",0,IFERROR(INDEX(Purchases!I:I,MATCH(O648*1,Purchases!A:A,0)),0))</f>
        <v>0</v>
      </c>
      <c r="M648" s="40" t="n">
        <f aca="false">IF(G648="",0,K648-L648)</f>
        <v>0</v>
      </c>
      <c r="N648" s="48" t="str">
        <f aca="false">IFERROR(IF(G648="","",M648/G648),"")</f>
        <v/>
      </c>
      <c r="O648" s="39"/>
      <c r="P648" s="39"/>
      <c r="Q648" s="39"/>
      <c r="R648" s="39"/>
      <c r="S648" s="48" t="n">
        <f aca="false">IFERROR(VLOOKUP(H648,Settings!B14:C25,2,FALSE()),0)</f>
        <v>0</v>
      </c>
    </row>
    <row r="649" customFormat="false" ht="15" hidden="false" customHeight="false" outlineLevel="0" collapsed="false">
      <c r="A649" s="41" t="str">
        <f aca="false">IF(B649="","",ROW()-3)</f>
        <v/>
      </c>
      <c r="B649" s="42"/>
      <c r="G649" s="44"/>
      <c r="I649" s="44" t="n">
        <f aca="false">IF(G649="",0,G649*S649)</f>
        <v>0</v>
      </c>
      <c r="J649" s="44"/>
      <c r="K649" s="44" t="n">
        <f aca="false">IF(G649="",0,G649-I649-IF(J649="",0,J649))</f>
        <v>0</v>
      </c>
      <c r="L649" s="44" t="n">
        <f aca="false">IF(O649="",0,IFERROR(INDEX(Purchases!I:I,MATCH(O649*1,Purchases!A:A,0)),0))</f>
        <v>0</v>
      </c>
      <c r="M649" s="44" t="n">
        <f aca="false">IF(G649="",0,K649-L649)</f>
        <v>0</v>
      </c>
      <c r="N649" s="49" t="str">
        <f aca="false">IFERROR(IF(G649="","",M649/G649),"")</f>
        <v/>
      </c>
      <c r="S649" s="49" t="n">
        <f aca="false">IFERROR(VLOOKUP(H649,Settings!B14:C25,2,FALSE()),0)</f>
        <v>0</v>
      </c>
    </row>
    <row r="650" customFormat="false" ht="15" hidden="false" customHeight="false" outlineLevel="0" collapsed="false">
      <c r="A650" s="37" t="str">
        <f aca="false">IF(B650="","",ROW()-3)</f>
        <v/>
      </c>
      <c r="B650" s="38"/>
      <c r="C650" s="39"/>
      <c r="D650" s="39"/>
      <c r="E650" s="39"/>
      <c r="F650" s="39"/>
      <c r="G650" s="40"/>
      <c r="H650" s="39"/>
      <c r="I650" s="40" t="n">
        <f aca="false">IF(G650="",0,G650*S650)</f>
        <v>0</v>
      </c>
      <c r="J650" s="40"/>
      <c r="K650" s="40" t="n">
        <f aca="false">IF(G650="",0,G650-I650-IF(J650="",0,J650))</f>
        <v>0</v>
      </c>
      <c r="L650" s="40" t="n">
        <f aca="false">IF(O650="",0,IFERROR(INDEX(Purchases!I:I,MATCH(O650*1,Purchases!A:A,0)),0))</f>
        <v>0</v>
      </c>
      <c r="M650" s="40" t="n">
        <f aca="false">IF(G650="",0,K650-L650)</f>
        <v>0</v>
      </c>
      <c r="N650" s="48" t="str">
        <f aca="false">IFERROR(IF(G650="","",M650/G650),"")</f>
        <v/>
      </c>
      <c r="O650" s="39"/>
      <c r="P650" s="39"/>
      <c r="Q650" s="39"/>
      <c r="R650" s="39"/>
      <c r="S650" s="48" t="n">
        <f aca="false">IFERROR(VLOOKUP(H650,Settings!B14:C25,2,FALSE()),0)</f>
        <v>0</v>
      </c>
    </row>
    <row r="651" customFormat="false" ht="15" hidden="false" customHeight="false" outlineLevel="0" collapsed="false">
      <c r="A651" s="41" t="str">
        <f aca="false">IF(B651="","",ROW()-3)</f>
        <v/>
      </c>
      <c r="B651" s="42"/>
      <c r="G651" s="44"/>
      <c r="I651" s="44" t="n">
        <f aca="false">IF(G651="",0,G651*S651)</f>
        <v>0</v>
      </c>
      <c r="J651" s="44"/>
      <c r="K651" s="44" t="n">
        <f aca="false">IF(G651="",0,G651-I651-IF(J651="",0,J651))</f>
        <v>0</v>
      </c>
      <c r="L651" s="44" t="n">
        <f aca="false">IF(O651="",0,IFERROR(INDEX(Purchases!I:I,MATCH(O651*1,Purchases!A:A,0)),0))</f>
        <v>0</v>
      </c>
      <c r="M651" s="44" t="n">
        <f aca="false">IF(G651="",0,K651-L651)</f>
        <v>0</v>
      </c>
      <c r="N651" s="49" t="str">
        <f aca="false">IFERROR(IF(G651="","",M651/G651),"")</f>
        <v/>
      </c>
      <c r="S651" s="49" t="n">
        <f aca="false">IFERROR(VLOOKUP(H651,Settings!B14:C25,2,FALSE()),0)</f>
        <v>0</v>
      </c>
    </row>
    <row r="652" customFormat="false" ht="15" hidden="false" customHeight="false" outlineLevel="0" collapsed="false">
      <c r="A652" s="37" t="str">
        <f aca="false">IF(B652="","",ROW()-3)</f>
        <v/>
      </c>
      <c r="B652" s="38"/>
      <c r="C652" s="39"/>
      <c r="D652" s="39"/>
      <c r="E652" s="39"/>
      <c r="F652" s="39"/>
      <c r="G652" s="40"/>
      <c r="H652" s="39"/>
      <c r="I652" s="40" t="n">
        <f aca="false">IF(G652="",0,G652*S652)</f>
        <v>0</v>
      </c>
      <c r="J652" s="40"/>
      <c r="K652" s="40" t="n">
        <f aca="false">IF(G652="",0,G652-I652-IF(J652="",0,J652))</f>
        <v>0</v>
      </c>
      <c r="L652" s="40" t="n">
        <f aca="false">IF(O652="",0,IFERROR(INDEX(Purchases!I:I,MATCH(O652*1,Purchases!A:A,0)),0))</f>
        <v>0</v>
      </c>
      <c r="M652" s="40" t="n">
        <f aca="false">IF(G652="",0,K652-L652)</f>
        <v>0</v>
      </c>
      <c r="N652" s="48" t="str">
        <f aca="false">IFERROR(IF(G652="","",M652/G652),"")</f>
        <v/>
      </c>
      <c r="O652" s="39"/>
      <c r="P652" s="39"/>
      <c r="Q652" s="39"/>
      <c r="R652" s="39"/>
      <c r="S652" s="48" t="n">
        <f aca="false">IFERROR(VLOOKUP(H652,Settings!B14:C25,2,FALSE()),0)</f>
        <v>0</v>
      </c>
    </row>
    <row r="653" customFormat="false" ht="15" hidden="false" customHeight="false" outlineLevel="0" collapsed="false">
      <c r="A653" s="41" t="str">
        <f aca="false">IF(B653="","",ROW()-3)</f>
        <v/>
      </c>
      <c r="B653" s="42"/>
      <c r="G653" s="44"/>
      <c r="I653" s="44" t="n">
        <f aca="false">IF(G653="",0,G653*S653)</f>
        <v>0</v>
      </c>
      <c r="J653" s="44"/>
      <c r="K653" s="44" t="n">
        <f aca="false">IF(G653="",0,G653-I653-IF(J653="",0,J653))</f>
        <v>0</v>
      </c>
      <c r="L653" s="44" t="n">
        <f aca="false">IF(O653="",0,IFERROR(INDEX(Purchases!I:I,MATCH(O653*1,Purchases!A:A,0)),0))</f>
        <v>0</v>
      </c>
      <c r="M653" s="44" t="n">
        <f aca="false">IF(G653="",0,K653-L653)</f>
        <v>0</v>
      </c>
      <c r="N653" s="49" t="str">
        <f aca="false">IFERROR(IF(G653="","",M653/G653),"")</f>
        <v/>
      </c>
      <c r="S653" s="49" t="n">
        <f aca="false">IFERROR(VLOOKUP(H653,Settings!B14:C25,2,FALSE()),0)</f>
        <v>0</v>
      </c>
    </row>
    <row r="654" customFormat="false" ht="15" hidden="false" customHeight="false" outlineLevel="0" collapsed="false">
      <c r="A654" s="37" t="str">
        <f aca="false">IF(B654="","",ROW()-3)</f>
        <v/>
      </c>
      <c r="B654" s="38"/>
      <c r="C654" s="39"/>
      <c r="D654" s="39"/>
      <c r="E654" s="39"/>
      <c r="F654" s="39"/>
      <c r="G654" s="40"/>
      <c r="H654" s="39"/>
      <c r="I654" s="40" t="n">
        <f aca="false">IF(G654="",0,G654*S654)</f>
        <v>0</v>
      </c>
      <c r="J654" s="40"/>
      <c r="K654" s="40" t="n">
        <f aca="false">IF(G654="",0,G654-I654-IF(J654="",0,J654))</f>
        <v>0</v>
      </c>
      <c r="L654" s="40" t="n">
        <f aca="false">IF(O654="",0,IFERROR(INDEX(Purchases!I:I,MATCH(O654*1,Purchases!A:A,0)),0))</f>
        <v>0</v>
      </c>
      <c r="M654" s="40" t="n">
        <f aca="false">IF(G654="",0,K654-L654)</f>
        <v>0</v>
      </c>
      <c r="N654" s="48" t="str">
        <f aca="false">IFERROR(IF(G654="","",M654/G654),"")</f>
        <v/>
      </c>
      <c r="O654" s="39"/>
      <c r="P654" s="39"/>
      <c r="Q654" s="39"/>
      <c r="R654" s="39"/>
      <c r="S654" s="48" t="n">
        <f aca="false">IFERROR(VLOOKUP(H654,Settings!B14:C25,2,FALSE()),0)</f>
        <v>0</v>
      </c>
    </row>
    <row r="655" customFormat="false" ht="15" hidden="false" customHeight="false" outlineLevel="0" collapsed="false">
      <c r="A655" s="41" t="str">
        <f aca="false">IF(B655="","",ROW()-3)</f>
        <v/>
      </c>
      <c r="B655" s="42"/>
      <c r="G655" s="44"/>
      <c r="I655" s="44" t="n">
        <f aca="false">IF(G655="",0,G655*S655)</f>
        <v>0</v>
      </c>
      <c r="J655" s="44"/>
      <c r="K655" s="44" t="n">
        <f aca="false">IF(G655="",0,G655-I655-IF(J655="",0,J655))</f>
        <v>0</v>
      </c>
      <c r="L655" s="44" t="n">
        <f aca="false">IF(O655="",0,IFERROR(INDEX(Purchases!I:I,MATCH(O655*1,Purchases!A:A,0)),0))</f>
        <v>0</v>
      </c>
      <c r="M655" s="44" t="n">
        <f aca="false">IF(G655="",0,K655-L655)</f>
        <v>0</v>
      </c>
      <c r="N655" s="49" t="str">
        <f aca="false">IFERROR(IF(G655="","",M655/G655),"")</f>
        <v/>
      </c>
      <c r="S655" s="49" t="n">
        <f aca="false">IFERROR(VLOOKUP(H655,Settings!B14:C25,2,FALSE()),0)</f>
        <v>0</v>
      </c>
    </row>
    <row r="656" customFormat="false" ht="15" hidden="false" customHeight="false" outlineLevel="0" collapsed="false">
      <c r="A656" s="37" t="str">
        <f aca="false">IF(B656="","",ROW()-3)</f>
        <v/>
      </c>
      <c r="B656" s="38"/>
      <c r="C656" s="39"/>
      <c r="D656" s="39"/>
      <c r="E656" s="39"/>
      <c r="F656" s="39"/>
      <c r="G656" s="40"/>
      <c r="H656" s="39"/>
      <c r="I656" s="40" t="n">
        <f aca="false">IF(G656="",0,G656*S656)</f>
        <v>0</v>
      </c>
      <c r="J656" s="40"/>
      <c r="K656" s="40" t="n">
        <f aca="false">IF(G656="",0,G656-I656-IF(J656="",0,J656))</f>
        <v>0</v>
      </c>
      <c r="L656" s="40" t="n">
        <f aca="false">IF(O656="",0,IFERROR(INDEX(Purchases!I:I,MATCH(O656*1,Purchases!A:A,0)),0))</f>
        <v>0</v>
      </c>
      <c r="M656" s="40" t="n">
        <f aca="false">IF(G656="",0,K656-L656)</f>
        <v>0</v>
      </c>
      <c r="N656" s="48" t="str">
        <f aca="false">IFERROR(IF(G656="","",M656/G656),"")</f>
        <v/>
      </c>
      <c r="O656" s="39"/>
      <c r="P656" s="39"/>
      <c r="Q656" s="39"/>
      <c r="R656" s="39"/>
      <c r="S656" s="48" t="n">
        <f aca="false">IFERROR(VLOOKUP(H656,Settings!B14:C25,2,FALSE()),0)</f>
        <v>0</v>
      </c>
    </row>
    <row r="657" customFormat="false" ht="15" hidden="false" customHeight="false" outlineLevel="0" collapsed="false">
      <c r="A657" s="41" t="str">
        <f aca="false">IF(B657="","",ROW()-3)</f>
        <v/>
      </c>
      <c r="B657" s="42"/>
      <c r="G657" s="44"/>
      <c r="I657" s="44" t="n">
        <f aca="false">IF(G657="",0,G657*S657)</f>
        <v>0</v>
      </c>
      <c r="J657" s="44"/>
      <c r="K657" s="44" t="n">
        <f aca="false">IF(G657="",0,G657-I657-IF(J657="",0,J657))</f>
        <v>0</v>
      </c>
      <c r="L657" s="44" t="n">
        <f aca="false">IF(O657="",0,IFERROR(INDEX(Purchases!I:I,MATCH(O657*1,Purchases!A:A,0)),0))</f>
        <v>0</v>
      </c>
      <c r="M657" s="44" t="n">
        <f aca="false">IF(G657="",0,K657-L657)</f>
        <v>0</v>
      </c>
      <c r="N657" s="49" t="str">
        <f aca="false">IFERROR(IF(G657="","",M657/G657),"")</f>
        <v/>
      </c>
      <c r="S657" s="49" t="n">
        <f aca="false">IFERROR(VLOOKUP(H657,Settings!B14:C25,2,FALSE()),0)</f>
        <v>0</v>
      </c>
    </row>
    <row r="658" customFormat="false" ht="15" hidden="false" customHeight="false" outlineLevel="0" collapsed="false">
      <c r="A658" s="37" t="str">
        <f aca="false">IF(B658="","",ROW()-3)</f>
        <v/>
      </c>
      <c r="B658" s="38"/>
      <c r="C658" s="39"/>
      <c r="D658" s="39"/>
      <c r="E658" s="39"/>
      <c r="F658" s="39"/>
      <c r="G658" s="40"/>
      <c r="H658" s="39"/>
      <c r="I658" s="40" t="n">
        <f aca="false">IF(G658="",0,G658*S658)</f>
        <v>0</v>
      </c>
      <c r="J658" s="40"/>
      <c r="K658" s="40" t="n">
        <f aca="false">IF(G658="",0,G658-I658-IF(J658="",0,J658))</f>
        <v>0</v>
      </c>
      <c r="L658" s="40" t="n">
        <f aca="false">IF(O658="",0,IFERROR(INDEX(Purchases!I:I,MATCH(O658*1,Purchases!A:A,0)),0))</f>
        <v>0</v>
      </c>
      <c r="M658" s="40" t="n">
        <f aca="false">IF(G658="",0,K658-L658)</f>
        <v>0</v>
      </c>
      <c r="N658" s="48" t="str">
        <f aca="false">IFERROR(IF(G658="","",M658/G658),"")</f>
        <v/>
      </c>
      <c r="O658" s="39"/>
      <c r="P658" s="39"/>
      <c r="Q658" s="39"/>
      <c r="R658" s="39"/>
      <c r="S658" s="48" t="n">
        <f aca="false">IFERROR(VLOOKUP(H658,Settings!B14:C25,2,FALSE()),0)</f>
        <v>0</v>
      </c>
    </row>
    <row r="659" customFormat="false" ht="15" hidden="false" customHeight="false" outlineLevel="0" collapsed="false">
      <c r="A659" s="41" t="str">
        <f aca="false">IF(B659="","",ROW()-3)</f>
        <v/>
      </c>
      <c r="B659" s="42"/>
      <c r="G659" s="44"/>
      <c r="I659" s="44" t="n">
        <f aca="false">IF(G659="",0,G659*S659)</f>
        <v>0</v>
      </c>
      <c r="J659" s="44"/>
      <c r="K659" s="44" t="n">
        <f aca="false">IF(G659="",0,G659-I659-IF(J659="",0,J659))</f>
        <v>0</v>
      </c>
      <c r="L659" s="44" t="n">
        <f aca="false">IF(O659="",0,IFERROR(INDEX(Purchases!I:I,MATCH(O659*1,Purchases!A:A,0)),0))</f>
        <v>0</v>
      </c>
      <c r="M659" s="44" t="n">
        <f aca="false">IF(G659="",0,K659-L659)</f>
        <v>0</v>
      </c>
      <c r="N659" s="49" t="str">
        <f aca="false">IFERROR(IF(G659="","",M659/G659),"")</f>
        <v/>
      </c>
      <c r="S659" s="49" t="n">
        <f aca="false">IFERROR(VLOOKUP(H659,Settings!B14:C25,2,FALSE()),0)</f>
        <v>0</v>
      </c>
    </row>
    <row r="660" customFormat="false" ht="15" hidden="false" customHeight="false" outlineLevel="0" collapsed="false">
      <c r="A660" s="37" t="str">
        <f aca="false">IF(B660="","",ROW()-3)</f>
        <v/>
      </c>
      <c r="B660" s="38"/>
      <c r="C660" s="39"/>
      <c r="D660" s="39"/>
      <c r="E660" s="39"/>
      <c r="F660" s="39"/>
      <c r="G660" s="40"/>
      <c r="H660" s="39"/>
      <c r="I660" s="40" t="n">
        <f aca="false">IF(G660="",0,G660*S660)</f>
        <v>0</v>
      </c>
      <c r="J660" s="40"/>
      <c r="K660" s="40" t="n">
        <f aca="false">IF(G660="",0,G660-I660-IF(J660="",0,J660))</f>
        <v>0</v>
      </c>
      <c r="L660" s="40" t="n">
        <f aca="false">IF(O660="",0,IFERROR(INDEX(Purchases!I:I,MATCH(O660*1,Purchases!A:A,0)),0))</f>
        <v>0</v>
      </c>
      <c r="M660" s="40" t="n">
        <f aca="false">IF(G660="",0,K660-L660)</f>
        <v>0</v>
      </c>
      <c r="N660" s="48" t="str">
        <f aca="false">IFERROR(IF(G660="","",M660/G660),"")</f>
        <v/>
      </c>
      <c r="O660" s="39"/>
      <c r="P660" s="39"/>
      <c r="Q660" s="39"/>
      <c r="R660" s="39"/>
      <c r="S660" s="48" t="n">
        <f aca="false">IFERROR(VLOOKUP(H660,Settings!B14:C25,2,FALSE()),0)</f>
        <v>0</v>
      </c>
    </row>
    <row r="661" customFormat="false" ht="15" hidden="false" customHeight="false" outlineLevel="0" collapsed="false">
      <c r="A661" s="41" t="str">
        <f aca="false">IF(B661="","",ROW()-3)</f>
        <v/>
      </c>
      <c r="B661" s="42"/>
      <c r="G661" s="44"/>
      <c r="I661" s="44" t="n">
        <f aca="false">IF(G661="",0,G661*S661)</f>
        <v>0</v>
      </c>
      <c r="J661" s="44"/>
      <c r="K661" s="44" t="n">
        <f aca="false">IF(G661="",0,G661-I661-IF(J661="",0,J661))</f>
        <v>0</v>
      </c>
      <c r="L661" s="44" t="n">
        <f aca="false">IF(O661="",0,IFERROR(INDEX(Purchases!I:I,MATCH(O661*1,Purchases!A:A,0)),0))</f>
        <v>0</v>
      </c>
      <c r="M661" s="44" t="n">
        <f aca="false">IF(G661="",0,K661-L661)</f>
        <v>0</v>
      </c>
      <c r="N661" s="49" t="str">
        <f aca="false">IFERROR(IF(G661="","",M661/G661),"")</f>
        <v/>
      </c>
      <c r="S661" s="49" t="n">
        <f aca="false">IFERROR(VLOOKUP(H661,Settings!B14:C25,2,FALSE()),0)</f>
        <v>0</v>
      </c>
    </row>
    <row r="662" customFormat="false" ht="15" hidden="false" customHeight="false" outlineLevel="0" collapsed="false">
      <c r="A662" s="37" t="str">
        <f aca="false">IF(B662="","",ROW()-3)</f>
        <v/>
      </c>
      <c r="B662" s="38"/>
      <c r="C662" s="39"/>
      <c r="D662" s="39"/>
      <c r="E662" s="39"/>
      <c r="F662" s="39"/>
      <c r="G662" s="40"/>
      <c r="H662" s="39"/>
      <c r="I662" s="40" t="n">
        <f aca="false">IF(G662="",0,G662*S662)</f>
        <v>0</v>
      </c>
      <c r="J662" s="40"/>
      <c r="K662" s="40" t="n">
        <f aca="false">IF(G662="",0,G662-I662-IF(J662="",0,J662))</f>
        <v>0</v>
      </c>
      <c r="L662" s="40" t="n">
        <f aca="false">IF(O662="",0,IFERROR(INDEX(Purchases!I:I,MATCH(O662*1,Purchases!A:A,0)),0))</f>
        <v>0</v>
      </c>
      <c r="M662" s="40" t="n">
        <f aca="false">IF(G662="",0,K662-L662)</f>
        <v>0</v>
      </c>
      <c r="N662" s="48" t="str">
        <f aca="false">IFERROR(IF(G662="","",M662/G662),"")</f>
        <v/>
      </c>
      <c r="O662" s="39"/>
      <c r="P662" s="39"/>
      <c r="Q662" s="39"/>
      <c r="R662" s="39"/>
      <c r="S662" s="48" t="n">
        <f aca="false">IFERROR(VLOOKUP(H662,Settings!B14:C25,2,FALSE()),0)</f>
        <v>0</v>
      </c>
    </row>
    <row r="663" customFormat="false" ht="15" hidden="false" customHeight="false" outlineLevel="0" collapsed="false">
      <c r="A663" s="41" t="str">
        <f aca="false">IF(B663="","",ROW()-3)</f>
        <v/>
      </c>
      <c r="B663" s="42"/>
      <c r="G663" s="44"/>
      <c r="I663" s="44" t="n">
        <f aca="false">IF(G663="",0,G663*S663)</f>
        <v>0</v>
      </c>
      <c r="J663" s="44"/>
      <c r="K663" s="44" t="n">
        <f aca="false">IF(G663="",0,G663-I663-IF(J663="",0,J663))</f>
        <v>0</v>
      </c>
      <c r="L663" s="44" t="n">
        <f aca="false">IF(O663="",0,IFERROR(INDEX(Purchases!I:I,MATCH(O663*1,Purchases!A:A,0)),0))</f>
        <v>0</v>
      </c>
      <c r="M663" s="44" t="n">
        <f aca="false">IF(G663="",0,K663-L663)</f>
        <v>0</v>
      </c>
      <c r="N663" s="49" t="str">
        <f aca="false">IFERROR(IF(G663="","",M663/G663),"")</f>
        <v/>
      </c>
      <c r="S663" s="49" t="n">
        <f aca="false">IFERROR(VLOOKUP(H663,Settings!B14:C25,2,FALSE()),0)</f>
        <v>0</v>
      </c>
    </row>
    <row r="664" customFormat="false" ht="15" hidden="false" customHeight="false" outlineLevel="0" collapsed="false">
      <c r="A664" s="37" t="str">
        <f aca="false">IF(B664="","",ROW()-3)</f>
        <v/>
      </c>
      <c r="B664" s="38"/>
      <c r="C664" s="39"/>
      <c r="D664" s="39"/>
      <c r="E664" s="39"/>
      <c r="F664" s="39"/>
      <c r="G664" s="40"/>
      <c r="H664" s="39"/>
      <c r="I664" s="40" t="n">
        <f aca="false">IF(G664="",0,G664*S664)</f>
        <v>0</v>
      </c>
      <c r="J664" s="40"/>
      <c r="K664" s="40" t="n">
        <f aca="false">IF(G664="",0,G664-I664-IF(J664="",0,J664))</f>
        <v>0</v>
      </c>
      <c r="L664" s="40" t="n">
        <f aca="false">IF(O664="",0,IFERROR(INDEX(Purchases!I:I,MATCH(O664*1,Purchases!A:A,0)),0))</f>
        <v>0</v>
      </c>
      <c r="M664" s="40" t="n">
        <f aca="false">IF(G664="",0,K664-L664)</f>
        <v>0</v>
      </c>
      <c r="N664" s="48" t="str">
        <f aca="false">IFERROR(IF(G664="","",M664/G664),"")</f>
        <v/>
      </c>
      <c r="O664" s="39"/>
      <c r="P664" s="39"/>
      <c r="Q664" s="39"/>
      <c r="R664" s="39"/>
      <c r="S664" s="48" t="n">
        <f aca="false">IFERROR(VLOOKUP(H664,Settings!B14:C25,2,FALSE()),0)</f>
        <v>0</v>
      </c>
    </row>
    <row r="665" customFormat="false" ht="15" hidden="false" customHeight="false" outlineLevel="0" collapsed="false">
      <c r="A665" s="41" t="str">
        <f aca="false">IF(B665="","",ROW()-3)</f>
        <v/>
      </c>
      <c r="B665" s="42"/>
      <c r="G665" s="44"/>
      <c r="I665" s="44" t="n">
        <f aca="false">IF(G665="",0,G665*S665)</f>
        <v>0</v>
      </c>
      <c r="J665" s="44"/>
      <c r="K665" s="44" t="n">
        <f aca="false">IF(G665="",0,G665-I665-IF(J665="",0,J665))</f>
        <v>0</v>
      </c>
      <c r="L665" s="44" t="n">
        <f aca="false">IF(O665="",0,IFERROR(INDEX(Purchases!I:I,MATCH(O665*1,Purchases!A:A,0)),0))</f>
        <v>0</v>
      </c>
      <c r="M665" s="44" t="n">
        <f aca="false">IF(G665="",0,K665-L665)</f>
        <v>0</v>
      </c>
      <c r="N665" s="49" t="str">
        <f aca="false">IFERROR(IF(G665="","",M665/G665),"")</f>
        <v/>
      </c>
      <c r="S665" s="49" t="n">
        <f aca="false">IFERROR(VLOOKUP(H665,Settings!B14:C25,2,FALSE()),0)</f>
        <v>0</v>
      </c>
    </row>
    <row r="666" customFormat="false" ht="15" hidden="false" customHeight="false" outlineLevel="0" collapsed="false">
      <c r="A666" s="37" t="str">
        <f aca="false">IF(B666="","",ROW()-3)</f>
        <v/>
      </c>
      <c r="B666" s="38"/>
      <c r="C666" s="39"/>
      <c r="D666" s="39"/>
      <c r="E666" s="39"/>
      <c r="F666" s="39"/>
      <c r="G666" s="40"/>
      <c r="H666" s="39"/>
      <c r="I666" s="40" t="n">
        <f aca="false">IF(G666="",0,G666*S666)</f>
        <v>0</v>
      </c>
      <c r="J666" s="40"/>
      <c r="K666" s="40" t="n">
        <f aca="false">IF(G666="",0,G666-I666-IF(J666="",0,J666))</f>
        <v>0</v>
      </c>
      <c r="L666" s="40" t="n">
        <f aca="false">IF(O666="",0,IFERROR(INDEX(Purchases!I:I,MATCH(O666*1,Purchases!A:A,0)),0))</f>
        <v>0</v>
      </c>
      <c r="M666" s="40" t="n">
        <f aca="false">IF(G666="",0,K666-L666)</f>
        <v>0</v>
      </c>
      <c r="N666" s="48" t="str">
        <f aca="false">IFERROR(IF(G666="","",M666/G666),"")</f>
        <v/>
      </c>
      <c r="O666" s="39"/>
      <c r="P666" s="39"/>
      <c r="Q666" s="39"/>
      <c r="R666" s="39"/>
      <c r="S666" s="48" t="n">
        <f aca="false">IFERROR(VLOOKUP(H666,Settings!B14:C25,2,FALSE()),0)</f>
        <v>0</v>
      </c>
    </row>
    <row r="667" customFormat="false" ht="15" hidden="false" customHeight="false" outlineLevel="0" collapsed="false">
      <c r="A667" s="41" t="str">
        <f aca="false">IF(B667="","",ROW()-3)</f>
        <v/>
      </c>
      <c r="B667" s="42"/>
      <c r="G667" s="44"/>
      <c r="I667" s="44" t="n">
        <f aca="false">IF(G667="",0,G667*S667)</f>
        <v>0</v>
      </c>
      <c r="J667" s="44"/>
      <c r="K667" s="44" t="n">
        <f aca="false">IF(G667="",0,G667-I667-IF(J667="",0,J667))</f>
        <v>0</v>
      </c>
      <c r="L667" s="44" t="n">
        <f aca="false">IF(O667="",0,IFERROR(INDEX(Purchases!I:I,MATCH(O667*1,Purchases!A:A,0)),0))</f>
        <v>0</v>
      </c>
      <c r="M667" s="44" t="n">
        <f aca="false">IF(G667="",0,K667-L667)</f>
        <v>0</v>
      </c>
      <c r="N667" s="49" t="str">
        <f aca="false">IFERROR(IF(G667="","",M667/G667),"")</f>
        <v/>
      </c>
      <c r="S667" s="49" t="n">
        <f aca="false">IFERROR(VLOOKUP(H667,Settings!B14:C25,2,FALSE()),0)</f>
        <v>0</v>
      </c>
    </row>
    <row r="668" customFormat="false" ht="15" hidden="false" customHeight="false" outlineLevel="0" collapsed="false">
      <c r="A668" s="37" t="str">
        <f aca="false">IF(B668="","",ROW()-3)</f>
        <v/>
      </c>
      <c r="B668" s="38"/>
      <c r="C668" s="39"/>
      <c r="D668" s="39"/>
      <c r="E668" s="39"/>
      <c r="F668" s="39"/>
      <c r="G668" s="40"/>
      <c r="H668" s="39"/>
      <c r="I668" s="40" t="n">
        <f aca="false">IF(G668="",0,G668*S668)</f>
        <v>0</v>
      </c>
      <c r="J668" s="40"/>
      <c r="K668" s="40" t="n">
        <f aca="false">IF(G668="",0,G668-I668-IF(J668="",0,J668))</f>
        <v>0</v>
      </c>
      <c r="L668" s="40" t="n">
        <f aca="false">IF(O668="",0,IFERROR(INDEX(Purchases!I:I,MATCH(O668*1,Purchases!A:A,0)),0))</f>
        <v>0</v>
      </c>
      <c r="M668" s="40" t="n">
        <f aca="false">IF(G668="",0,K668-L668)</f>
        <v>0</v>
      </c>
      <c r="N668" s="48" t="str">
        <f aca="false">IFERROR(IF(G668="","",M668/G668),"")</f>
        <v/>
      </c>
      <c r="O668" s="39"/>
      <c r="P668" s="39"/>
      <c r="Q668" s="39"/>
      <c r="R668" s="39"/>
      <c r="S668" s="48" t="n">
        <f aca="false">IFERROR(VLOOKUP(H668,Settings!B14:C25,2,FALSE()),0)</f>
        <v>0</v>
      </c>
    </row>
    <row r="669" customFormat="false" ht="15" hidden="false" customHeight="false" outlineLevel="0" collapsed="false">
      <c r="A669" s="41" t="str">
        <f aca="false">IF(B669="","",ROW()-3)</f>
        <v/>
      </c>
      <c r="B669" s="42"/>
      <c r="G669" s="44"/>
      <c r="I669" s="44" t="n">
        <f aca="false">IF(G669="",0,G669*S669)</f>
        <v>0</v>
      </c>
      <c r="J669" s="44"/>
      <c r="K669" s="44" t="n">
        <f aca="false">IF(G669="",0,G669-I669-IF(J669="",0,J669))</f>
        <v>0</v>
      </c>
      <c r="L669" s="44" t="n">
        <f aca="false">IF(O669="",0,IFERROR(INDEX(Purchases!I:I,MATCH(O669*1,Purchases!A:A,0)),0))</f>
        <v>0</v>
      </c>
      <c r="M669" s="44" t="n">
        <f aca="false">IF(G669="",0,K669-L669)</f>
        <v>0</v>
      </c>
      <c r="N669" s="49" t="str">
        <f aca="false">IFERROR(IF(G669="","",M669/G669),"")</f>
        <v/>
      </c>
      <c r="S669" s="49" t="n">
        <f aca="false">IFERROR(VLOOKUP(H669,Settings!B14:C25,2,FALSE()),0)</f>
        <v>0</v>
      </c>
    </row>
    <row r="670" customFormat="false" ht="15" hidden="false" customHeight="false" outlineLevel="0" collapsed="false">
      <c r="A670" s="37" t="str">
        <f aca="false">IF(B670="","",ROW()-3)</f>
        <v/>
      </c>
      <c r="B670" s="38"/>
      <c r="C670" s="39"/>
      <c r="D670" s="39"/>
      <c r="E670" s="39"/>
      <c r="F670" s="39"/>
      <c r="G670" s="40"/>
      <c r="H670" s="39"/>
      <c r="I670" s="40" t="n">
        <f aca="false">IF(G670="",0,G670*S670)</f>
        <v>0</v>
      </c>
      <c r="J670" s="40"/>
      <c r="K670" s="40" t="n">
        <f aca="false">IF(G670="",0,G670-I670-IF(J670="",0,J670))</f>
        <v>0</v>
      </c>
      <c r="L670" s="40" t="n">
        <f aca="false">IF(O670="",0,IFERROR(INDEX(Purchases!I:I,MATCH(O670*1,Purchases!A:A,0)),0))</f>
        <v>0</v>
      </c>
      <c r="M670" s="40" t="n">
        <f aca="false">IF(G670="",0,K670-L670)</f>
        <v>0</v>
      </c>
      <c r="N670" s="48" t="str">
        <f aca="false">IFERROR(IF(G670="","",M670/G670),"")</f>
        <v/>
      </c>
      <c r="O670" s="39"/>
      <c r="P670" s="39"/>
      <c r="Q670" s="39"/>
      <c r="R670" s="39"/>
      <c r="S670" s="48" t="n">
        <f aca="false">IFERROR(VLOOKUP(H670,Settings!B14:C25,2,FALSE()),0)</f>
        <v>0</v>
      </c>
    </row>
    <row r="671" customFormat="false" ht="15" hidden="false" customHeight="false" outlineLevel="0" collapsed="false">
      <c r="A671" s="41" t="str">
        <f aca="false">IF(B671="","",ROW()-3)</f>
        <v/>
      </c>
      <c r="B671" s="42"/>
      <c r="G671" s="44"/>
      <c r="I671" s="44" t="n">
        <f aca="false">IF(G671="",0,G671*S671)</f>
        <v>0</v>
      </c>
      <c r="J671" s="44"/>
      <c r="K671" s="44" t="n">
        <f aca="false">IF(G671="",0,G671-I671-IF(J671="",0,J671))</f>
        <v>0</v>
      </c>
      <c r="L671" s="44" t="n">
        <f aca="false">IF(O671="",0,IFERROR(INDEX(Purchases!I:I,MATCH(O671*1,Purchases!A:A,0)),0))</f>
        <v>0</v>
      </c>
      <c r="M671" s="44" t="n">
        <f aca="false">IF(G671="",0,K671-L671)</f>
        <v>0</v>
      </c>
      <c r="N671" s="49" t="str">
        <f aca="false">IFERROR(IF(G671="","",M671/G671),"")</f>
        <v/>
      </c>
      <c r="S671" s="49" t="n">
        <f aca="false">IFERROR(VLOOKUP(H671,Settings!B14:C25,2,FALSE()),0)</f>
        <v>0</v>
      </c>
    </row>
    <row r="672" customFormat="false" ht="15" hidden="false" customHeight="false" outlineLevel="0" collapsed="false">
      <c r="A672" s="37" t="str">
        <f aca="false">IF(B672="","",ROW()-3)</f>
        <v/>
      </c>
      <c r="B672" s="38"/>
      <c r="C672" s="39"/>
      <c r="D672" s="39"/>
      <c r="E672" s="39"/>
      <c r="F672" s="39"/>
      <c r="G672" s="40"/>
      <c r="H672" s="39"/>
      <c r="I672" s="40" t="n">
        <f aca="false">IF(G672="",0,G672*S672)</f>
        <v>0</v>
      </c>
      <c r="J672" s="40"/>
      <c r="K672" s="40" t="n">
        <f aca="false">IF(G672="",0,G672-I672-IF(J672="",0,J672))</f>
        <v>0</v>
      </c>
      <c r="L672" s="40" t="n">
        <f aca="false">IF(O672="",0,IFERROR(INDEX(Purchases!I:I,MATCH(O672*1,Purchases!A:A,0)),0))</f>
        <v>0</v>
      </c>
      <c r="M672" s="40" t="n">
        <f aca="false">IF(G672="",0,K672-L672)</f>
        <v>0</v>
      </c>
      <c r="N672" s="48" t="str">
        <f aca="false">IFERROR(IF(G672="","",M672/G672),"")</f>
        <v/>
      </c>
      <c r="O672" s="39"/>
      <c r="P672" s="39"/>
      <c r="Q672" s="39"/>
      <c r="R672" s="39"/>
      <c r="S672" s="48" t="n">
        <f aca="false">IFERROR(VLOOKUP(H672,Settings!B14:C25,2,FALSE()),0)</f>
        <v>0</v>
      </c>
    </row>
    <row r="673" customFormat="false" ht="15" hidden="false" customHeight="false" outlineLevel="0" collapsed="false">
      <c r="A673" s="41" t="str">
        <f aca="false">IF(B673="","",ROW()-3)</f>
        <v/>
      </c>
      <c r="B673" s="42"/>
      <c r="G673" s="44"/>
      <c r="I673" s="44" t="n">
        <f aca="false">IF(G673="",0,G673*S673)</f>
        <v>0</v>
      </c>
      <c r="J673" s="44"/>
      <c r="K673" s="44" t="n">
        <f aca="false">IF(G673="",0,G673-I673-IF(J673="",0,J673))</f>
        <v>0</v>
      </c>
      <c r="L673" s="44" t="n">
        <f aca="false">IF(O673="",0,IFERROR(INDEX(Purchases!I:I,MATCH(O673*1,Purchases!A:A,0)),0))</f>
        <v>0</v>
      </c>
      <c r="M673" s="44" t="n">
        <f aca="false">IF(G673="",0,K673-L673)</f>
        <v>0</v>
      </c>
      <c r="N673" s="49" t="str">
        <f aca="false">IFERROR(IF(G673="","",M673/G673),"")</f>
        <v/>
      </c>
      <c r="S673" s="49" t="n">
        <f aca="false">IFERROR(VLOOKUP(H673,Settings!B14:C25,2,FALSE()),0)</f>
        <v>0</v>
      </c>
    </row>
    <row r="674" customFormat="false" ht="15" hidden="false" customHeight="false" outlineLevel="0" collapsed="false">
      <c r="A674" s="37" t="str">
        <f aca="false">IF(B674="","",ROW()-3)</f>
        <v/>
      </c>
      <c r="B674" s="38"/>
      <c r="C674" s="39"/>
      <c r="D674" s="39"/>
      <c r="E674" s="39"/>
      <c r="F674" s="39"/>
      <c r="G674" s="40"/>
      <c r="H674" s="39"/>
      <c r="I674" s="40" t="n">
        <f aca="false">IF(G674="",0,G674*S674)</f>
        <v>0</v>
      </c>
      <c r="J674" s="40"/>
      <c r="K674" s="40" t="n">
        <f aca="false">IF(G674="",0,G674-I674-IF(J674="",0,J674))</f>
        <v>0</v>
      </c>
      <c r="L674" s="40" t="n">
        <f aca="false">IF(O674="",0,IFERROR(INDEX(Purchases!I:I,MATCH(O674*1,Purchases!A:A,0)),0))</f>
        <v>0</v>
      </c>
      <c r="M674" s="40" t="n">
        <f aca="false">IF(G674="",0,K674-L674)</f>
        <v>0</v>
      </c>
      <c r="N674" s="48" t="str">
        <f aca="false">IFERROR(IF(G674="","",M674/G674),"")</f>
        <v/>
      </c>
      <c r="O674" s="39"/>
      <c r="P674" s="39"/>
      <c r="Q674" s="39"/>
      <c r="R674" s="39"/>
      <c r="S674" s="48" t="n">
        <f aca="false">IFERROR(VLOOKUP(H674,Settings!B14:C25,2,FALSE()),0)</f>
        <v>0</v>
      </c>
    </row>
    <row r="675" customFormat="false" ht="15" hidden="false" customHeight="false" outlineLevel="0" collapsed="false">
      <c r="A675" s="41" t="str">
        <f aca="false">IF(B675="","",ROW()-3)</f>
        <v/>
      </c>
      <c r="B675" s="42"/>
      <c r="G675" s="44"/>
      <c r="I675" s="44" t="n">
        <f aca="false">IF(G675="",0,G675*S675)</f>
        <v>0</v>
      </c>
      <c r="J675" s="44"/>
      <c r="K675" s="44" t="n">
        <f aca="false">IF(G675="",0,G675-I675-IF(J675="",0,J675))</f>
        <v>0</v>
      </c>
      <c r="L675" s="44" t="n">
        <f aca="false">IF(O675="",0,IFERROR(INDEX(Purchases!I:I,MATCH(O675*1,Purchases!A:A,0)),0))</f>
        <v>0</v>
      </c>
      <c r="M675" s="44" t="n">
        <f aca="false">IF(G675="",0,K675-L675)</f>
        <v>0</v>
      </c>
      <c r="N675" s="49" t="str">
        <f aca="false">IFERROR(IF(G675="","",M675/G675),"")</f>
        <v/>
      </c>
      <c r="S675" s="49" t="n">
        <f aca="false">IFERROR(VLOOKUP(H675,Settings!B14:C25,2,FALSE()),0)</f>
        <v>0</v>
      </c>
    </row>
    <row r="676" customFormat="false" ht="15" hidden="false" customHeight="false" outlineLevel="0" collapsed="false">
      <c r="A676" s="37" t="str">
        <f aca="false">IF(B676="","",ROW()-3)</f>
        <v/>
      </c>
      <c r="B676" s="38"/>
      <c r="C676" s="39"/>
      <c r="D676" s="39"/>
      <c r="E676" s="39"/>
      <c r="F676" s="39"/>
      <c r="G676" s="40"/>
      <c r="H676" s="39"/>
      <c r="I676" s="40" t="n">
        <f aca="false">IF(G676="",0,G676*S676)</f>
        <v>0</v>
      </c>
      <c r="J676" s="40"/>
      <c r="K676" s="40" t="n">
        <f aca="false">IF(G676="",0,G676-I676-IF(J676="",0,J676))</f>
        <v>0</v>
      </c>
      <c r="L676" s="40" t="n">
        <f aca="false">IF(O676="",0,IFERROR(INDEX(Purchases!I:I,MATCH(O676*1,Purchases!A:A,0)),0))</f>
        <v>0</v>
      </c>
      <c r="M676" s="40" t="n">
        <f aca="false">IF(G676="",0,K676-L676)</f>
        <v>0</v>
      </c>
      <c r="N676" s="48" t="str">
        <f aca="false">IFERROR(IF(G676="","",M676/G676),"")</f>
        <v/>
      </c>
      <c r="O676" s="39"/>
      <c r="P676" s="39"/>
      <c r="Q676" s="39"/>
      <c r="R676" s="39"/>
      <c r="S676" s="48" t="n">
        <f aca="false">IFERROR(VLOOKUP(H676,Settings!B14:C25,2,FALSE()),0)</f>
        <v>0</v>
      </c>
    </row>
    <row r="677" customFormat="false" ht="15" hidden="false" customHeight="false" outlineLevel="0" collapsed="false">
      <c r="A677" s="41" t="str">
        <f aca="false">IF(B677="","",ROW()-3)</f>
        <v/>
      </c>
      <c r="B677" s="42"/>
      <c r="G677" s="44"/>
      <c r="I677" s="44" t="n">
        <f aca="false">IF(G677="",0,G677*S677)</f>
        <v>0</v>
      </c>
      <c r="J677" s="44"/>
      <c r="K677" s="44" t="n">
        <f aca="false">IF(G677="",0,G677-I677-IF(J677="",0,J677))</f>
        <v>0</v>
      </c>
      <c r="L677" s="44" t="n">
        <f aca="false">IF(O677="",0,IFERROR(INDEX(Purchases!I:I,MATCH(O677*1,Purchases!A:A,0)),0))</f>
        <v>0</v>
      </c>
      <c r="M677" s="44" t="n">
        <f aca="false">IF(G677="",0,K677-L677)</f>
        <v>0</v>
      </c>
      <c r="N677" s="49" t="str">
        <f aca="false">IFERROR(IF(G677="","",M677/G677),"")</f>
        <v/>
      </c>
      <c r="S677" s="49" t="n">
        <f aca="false">IFERROR(VLOOKUP(H677,Settings!B14:C25,2,FALSE()),0)</f>
        <v>0</v>
      </c>
    </row>
    <row r="678" customFormat="false" ht="15" hidden="false" customHeight="false" outlineLevel="0" collapsed="false">
      <c r="A678" s="37" t="str">
        <f aca="false">IF(B678="","",ROW()-3)</f>
        <v/>
      </c>
      <c r="B678" s="38"/>
      <c r="C678" s="39"/>
      <c r="D678" s="39"/>
      <c r="E678" s="39"/>
      <c r="F678" s="39"/>
      <c r="G678" s="40"/>
      <c r="H678" s="39"/>
      <c r="I678" s="40" t="n">
        <f aca="false">IF(G678="",0,G678*S678)</f>
        <v>0</v>
      </c>
      <c r="J678" s="40"/>
      <c r="K678" s="40" t="n">
        <f aca="false">IF(G678="",0,G678-I678-IF(J678="",0,J678))</f>
        <v>0</v>
      </c>
      <c r="L678" s="40" t="n">
        <f aca="false">IF(O678="",0,IFERROR(INDEX(Purchases!I:I,MATCH(O678*1,Purchases!A:A,0)),0))</f>
        <v>0</v>
      </c>
      <c r="M678" s="40" t="n">
        <f aca="false">IF(G678="",0,K678-L678)</f>
        <v>0</v>
      </c>
      <c r="N678" s="48" t="str">
        <f aca="false">IFERROR(IF(G678="","",M678/G678),"")</f>
        <v/>
      </c>
      <c r="O678" s="39"/>
      <c r="P678" s="39"/>
      <c r="Q678" s="39"/>
      <c r="R678" s="39"/>
      <c r="S678" s="48" t="n">
        <f aca="false">IFERROR(VLOOKUP(H678,Settings!B14:C25,2,FALSE()),0)</f>
        <v>0</v>
      </c>
    </row>
    <row r="679" customFormat="false" ht="15" hidden="false" customHeight="false" outlineLevel="0" collapsed="false">
      <c r="A679" s="41" t="str">
        <f aca="false">IF(B679="","",ROW()-3)</f>
        <v/>
      </c>
      <c r="B679" s="42"/>
      <c r="G679" s="44"/>
      <c r="I679" s="44" t="n">
        <f aca="false">IF(G679="",0,G679*S679)</f>
        <v>0</v>
      </c>
      <c r="J679" s="44"/>
      <c r="K679" s="44" t="n">
        <f aca="false">IF(G679="",0,G679-I679-IF(J679="",0,J679))</f>
        <v>0</v>
      </c>
      <c r="L679" s="44" t="n">
        <f aca="false">IF(O679="",0,IFERROR(INDEX(Purchases!I:I,MATCH(O679*1,Purchases!A:A,0)),0))</f>
        <v>0</v>
      </c>
      <c r="M679" s="44" t="n">
        <f aca="false">IF(G679="",0,K679-L679)</f>
        <v>0</v>
      </c>
      <c r="N679" s="49" t="str">
        <f aca="false">IFERROR(IF(G679="","",M679/G679),"")</f>
        <v/>
      </c>
      <c r="S679" s="49" t="n">
        <f aca="false">IFERROR(VLOOKUP(H679,Settings!B14:C25,2,FALSE()),0)</f>
        <v>0</v>
      </c>
    </row>
    <row r="680" customFormat="false" ht="15" hidden="false" customHeight="false" outlineLevel="0" collapsed="false">
      <c r="A680" s="37" t="str">
        <f aca="false">IF(B680="","",ROW()-3)</f>
        <v/>
      </c>
      <c r="B680" s="38"/>
      <c r="C680" s="39"/>
      <c r="D680" s="39"/>
      <c r="E680" s="39"/>
      <c r="F680" s="39"/>
      <c r="G680" s="40"/>
      <c r="H680" s="39"/>
      <c r="I680" s="40" t="n">
        <f aca="false">IF(G680="",0,G680*S680)</f>
        <v>0</v>
      </c>
      <c r="J680" s="40"/>
      <c r="K680" s="40" t="n">
        <f aca="false">IF(G680="",0,G680-I680-IF(J680="",0,J680))</f>
        <v>0</v>
      </c>
      <c r="L680" s="40" t="n">
        <f aca="false">IF(O680="",0,IFERROR(INDEX(Purchases!I:I,MATCH(O680*1,Purchases!A:A,0)),0))</f>
        <v>0</v>
      </c>
      <c r="M680" s="40" t="n">
        <f aca="false">IF(G680="",0,K680-L680)</f>
        <v>0</v>
      </c>
      <c r="N680" s="48" t="str">
        <f aca="false">IFERROR(IF(G680="","",M680/G680),"")</f>
        <v/>
      </c>
      <c r="O680" s="39"/>
      <c r="P680" s="39"/>
      <c r="Q680" s="39"/>
      <c r="R680" s="39"/>
      <c r="S680" s="48" t="n">
        <f aca="false">IFERROR(VLOOKUP(H680,Settings!B14:C25,2,FALSE()),0)</f>
        <v>0</v>
      </c>
    </row>
    <row r="681" customFormat="false" ht="15" hidden="false" customHeight="false" outlineLevel="0" collapsed="false">
      <c r="A681" s="41" t="str">
        <f aca="false">IF(B681="","",ROW()-3)</f>
        <v/>
      </c>
      <c r="B681" s="42"/>
      <c r="G681" s="44"/>
      <c r="I681" s="44" t="n">
        <f aca="false">IF(G681="",0,G681*S681)</f>
        <v>0</v>
      </c>
      <c r="J681" s="44"/>
      <c r="K681" s="44" t="n">
        <f aca="false">IF(G681="",0,G681-I681-IF(J681="",0,J681))</f>
        <v>0</v>
      </c>
      <c r="L681" s="44" t="n">
        <f aca="false">IF(O681="",0,IFERROR(INDEX(Purchases!I:I,MATCH(O681*1,Purchases!A:A,0)),0))</f>
        <v>0</v>
      </c>
      <c r="M681" s="44" t="n">
        <f aca="false">IF(G681="",0,K681-L681)</f>
        <v>0</v>
      </c>
      <c r="N681" s="49" t="str">
        <f aca="false">IFERROR(IF(G681="","",M681/G681),"")</f>
        <v/>
      </c>
      <c r="S681" s="49" t="n">
        <f aca="false">IFERROR(VLOOKUP(H681,Settings!B14:C25,2,FALSE()),0)</f>
        <v>0</v>
      </c>
    </row>
    <row r="682" customFormat="false" ht="15" hidden="false" customHeight="false" outlineLevel="0" collapsed="false">
      <c r="A682" s="37" t="str">
        <f aca="false">IF(B682="","",ROW()-3)</f>
        <v/>
      </c>
      <c r="B682" s="38"/>
      <c r="C682" s="39"/>
      <c r="D682" s="39"/>
      <c r="E682" s="39"/>
      <c r="F682" s="39"/>
      <c r="G682" s="40"/>
      <c r="H682" s="39"/>
      <c r="I682" s="40" t="n">
        <f aca="false">IF(G682="",0,G682*S682)</f>
        <v>0</v>
      </c>
      <c r="J682" s="40"/>
      <c r="K682" s="40" t="n">
        <f aca="false">IF(G682="",0,G682-I682-IF(J682="",0,J682))</f>
        <v>0</v>
      </c>
      <c r="L682" s="40" t="n">
        <f aca="false">IF(O682="",0,IFERROR(INDEX(Purchases!I:I,MATCH(O682*1,Purchases!A:A,0)),0))</f>
        <v>0</v>
      </c>
      <c r="M682" s="40" t="n">
        <f aca="false">IF(G682="",0,K682-L682)</f>
        <v>0</v>
      </c>
      <c r="N682" s="48" t="str">
        <f aca="false">IFERROR(IF(G682="","",M682/G682),"")</f>
        <v/>
      </c>
      <c r="O682" s="39"/>
      <c r="P682" s="39"/>
      <c r="Q682" s="39"/>
      <c r="R682" s="39"/>
      <c r="S682" s="48" t="n">
        <f aca="false">IFERROR(VLOOKUP(H682,Settings!B14:C25,2,FALSE()),0)</f>
        <v>0</v>
      </c>
    </row>
    <row r="683" customFormat="false" ht="15" hidden="false" customHeight="false" outlineLevel="0" collapsed="false">
      <c r="A683" s="41" t="str">
        <f aca="false">IF(B683="","",ROW()-3)</f>
        <v/>
      </c>
      <c r="B683" s="42"/>
      <c r="G683" s="44"/>
      <c r="I683" s="44" t="n">
        <f aca="false">IF(G683="",0,G683*S683)</f>
        <v>0</v>
      </c>
      <c r="J683" s="44"/>
      <c r="K683" s="44" t="n">
        <f aca="false">IF(G683="",0,G683-I683-IF(J683="",0,J683))</f>
        <v>0</v>
      </c>
      <c r="L683" s="44" t="n">
        <f aca="false">IF(O683="",0,IFERROR(INDEX(Purchases!I:I,MATCH(O683*1,Purchases!A:A,0)),0))</f>
        <v>0</v>
      </c>
      <c r="M683" s="44" t="n">
        <f aca="false">IF(G683="",0,K683-L683)</f>
        <v>0</v>
      </c>
      <c r="N683" s="49" t="str">
        <f aca="false">IFERROR(IF(G683="","",M683/G683),"")</f>
        <v/>
      </c>
      <c r="S683" s="49" t="n">
        <f aca="false">IFERROR(VLOOKUP(H683,Settings!B14:C25,2,FALSE()),0)</f>
        <v>0</v>
      </c>
    </row>
    <row r="684" customFormat="false" ht="15" hidden="false" customHeight="false" outlineLevel="0" collapsed="false">
      <c r="A684" s="37" t="str">
        <f aca="false">IF(B684="","",ROW()-3)</f>
        <v/>
      </c>
      <c r="B684" s="38"/>
      <c r="C684" s="39"/>
      <c r="D684" s="39"/>
      <c r="E684" s="39"/>
      <c r="F684" s="39"/>
      <c r="G684" s="40"/>
      <c r="H684" s="39"/>
      <c r="I684" s="40" t="n">
        <f aca="false">IF(G684="",0,G684*S684)</f>
        <v>0</v>
      </c>
      <c r="J684" s="40"/>
      <c r="K684" s="40" t="n">
        <f aca="false">IF(G684="",0,G684-I684-IF(J684="",0,J684))</f>
        <v>0</v>
      </c>
      <c r="L684" s="40" t="n">
        <f aca="false">IF(O684="",0,IFERROR(INDEX(Purchases!I:I,MATCH(O684*1,Purchases!A:A,0)),0))</f>
        <v>0</v>
      </c>
      <c r="M684" s="40" t="n">
        <f aca="false">IF(G684="",0,K684-L684)</f>
        <v>0</v>
      </c>
      <c r="N684" s="48" t="str">
        <f aca="false">IFERROR(IF(G684="","",M684/G684),"")</f>
        <v/>
      </c>
      <c r="O684" s="39"/>
      <c r="P684" s="39"/>
      <c r="Q684" s="39"/>
      <c r="R684" s="39"/>
      <c r="S684" s="48" t="n">
        <f aca="false">IFERROR(VLOOKUP(H684,Settings!B14:C25,2,FALSE()),0)</f>
        <v>0</v>
      </c>
    </row>
    <row r="685" customFormat="false" ht="15" hidden="false" customHeight="false" outlineLevel="0" collapsed="false">
      <c r="A685" s="41" t="str">
        <f aca="false">IF(B685="","",ROW()-3)</f>
        <v/>
      </c>
      <c r="B685" s="42"/>
      <c r="G685" s="44"/>
      <c r="I685" s="44" t="n">
        <f aca="false">IF(G685="",0,G685*S685)</f>
        <v>0</v>
      </c>
      <c r="J685" s="44"/>
      <c r="K685" s="44" t="n">
        <f aca="false">IF(G685="",0,G685-I685-IF(J685="",0,J685))</f>
        <v>0</v>
      </c>
      <c r="L685" s="44" t="n">
        <f aca="false">IF(O685="",0,IFERROR(INDEX(Purchases!I:I,MATCH(O685*1,Purchases!A:A,0)),0))</f>
        <v>0</v>
      </c>
      <c r="M685" s="44" t="n">
        <f aca="false">IF(G685="",0,K685-L685)</f>
        <v>0</v>
      </c>
      <c r="N685" s="49" t="str">
        <f aca="false">IFERROR(IF(G685="","",M685/G685),"")</f>
        <v/>
      </c>
      <c r="S685" s="49" t="n">
        <f aca="false">IFERROR(VLOOKUP(H685,Settings!B14:C25,2,FALSE()),0)</f>
        <v>0</v>
      </c>
    </row>
    <row r="686" customFormat="false" ht="15" hidden="false" customHeight="false" outlineLevel="0" collapsed="false">
      <c r="A686" s="37" t="str">
        <f aca="false">IF(B686="","",ROW()-3)</f>
        <v/>
      </c>
      <c r="B686" s="38"/>
      <c r="C686" s="39"/>
      <c r="D686" s="39"/>
      <c r="E686" s="39"/>
      <c r="F686" s="39"/>
      <c r="G686" s="40"/>
      <c r="H686" s="39"/>
      <c r="I686" s="40" t="n">
        <f aca="false">IF(G686="",0,G686*S686)</f>
        <v>0</v>
      </c>
      <c r="J686" s="40"/>
      <c r="K686" s="40" t="n">
        <f aca="false">IF(G686="",0,G686-I686-IF(J686="",0,J686))</f>
        <v>0</v>
      </c>
      <c r="L686" s="40" t="n">
        <f aca="false">IF(O686="",0,IFERROR(INDEX(Purchases!I:I,MATCH(O686*1,Purchases!A:A,0)),0))</f>
        <v>0</v>
      </c>
      <c r="M686" s="40" t="n">
        <f aca="false">IF(G686="",0,K686-L686)</f>
        <v>0</v>
      </c>
      <c r="N686" s="48" t="str">
        <f aca="false">IFERROR(IF(G686="","",M686/G686),"")</f>
        <v/>
      </c>
      <c r="O686" s="39"/>
      <c r="P686" s="39"/>
      <c r="Q686" s="39"/>
      <c r="R686" s="39"/>
      <c r="S686" s="48" t="n">
        <f aca="false">IFERROR(VLOOKUP(H686,Settings!B14:C25,2,FALSE()),0)</f>
        <v>0</v>
      </c>
    </row>
    <row r="687" customFormat="false" ht="15" hidden="false" customHeight="false" outlineLevel="0" collapsed="false">
      <c r="A687" s="41" t="str">
        <f aca="false">IF(B687="","",ROW()-3)</f>
        <v/>
      </c>
      <c r="B687" s="42"/>
      <c r="G687" s="44"/>
      <c r="I687" s="44" t="n">
        <f aca="false">IF(G687="",0,G687*S687)</f>
        <v>0</v>
      </c>
      <c r="J687" s="44"/>
      <c r="K687" s="44" t="n">
        <f aca="false">IF(G687="",0,G687-I687-IF(J687="",0,J687))</f>
        <v>0</v>
      </c>
      <c r="L687" s="44" t="n">
        <f aca="false">IF(O687="",0,IFERROR(INDEX(Purchases!I:I,MATCH(O687*1,Purchases!A:A,0)),0))</f>
        <v>0</v>
      </c>
      <c r="M687" s="44" t="n">
        <f aca="false">IF(G687="",0,K687-L687)</f>
        <v>0</v>
      </c>
      <c r="N687" s="49" t="str">
        <f aca="false">IFERROR(IF(G687="","",M687/G687),"")</f>
        <v/>
      </c>
      <c r="S687" s="49" t="n">
        <f aca="false">IFERROR(VLOOKUP(H687,Settings!B14:C25,2,FALSE()),0)</f>
        <v>0</v>
      </c>
    </row>
    <row r="688" customFormat="false" ht="15" hidden="false" customHeight="false" outlineLevel="0" collapsed="false">
      <c r="A688" s="37" t="str">
        <f aca="false">IF(B688="","",ROW()-3)</f>
        <v/>
      </c>
      <c r="B688" s="38"/>
      <c r="C688" s="39"/>
      <c r="D688" s="39"/>
      <c r="E688" s="39"/>
      <c r="F688" s="39"/>
      <c r="G688" s="40"/>
      <c r="H688" s="39"/>
      <c r="I688" s="40" t="n">
        <f aca="false">IF(G688="",0,G688*S688)</f>
        <v>0</v>
      </c>
      <c r="J688" s="40"/>
      <c r="K688" s="40" t="n">
        <f aca="false">IF(G688="",0,G688-I688-IF(J688="",0,J688))</f>
        <v>0</v>
      </c>
      <c r="L688" s="40" t="n">
        <f aca="false">IF(O688="",0,IFERROR(INDEX(Purchases!I:I,MATCH(O688*1,Purchases!A:A,0)),0))</f>
        <v>0</v>
      </c>
      <c r="M688" s="40" t="n">
        <f aca="false">IF(G688="",0,K688-L688)</f>
        <v>0</v>
      </c>
      <c r="N688" s="48" t="str">
        <f aca="false">IFERROR(IF(G688="","",M688/G688),"")</f>
        <v/>
      </c>
      <c r="O688" s="39"/>
      <c r="P688" s="39"/>
      <c r="Q688" s="39"/>
      <c r="R688" s="39"/>
      <c r="S688" s="48" t="n">
        <f aca="false">IFERROR(VLOOKUP(H688,Settings!B14:C25,2,FALSE()),0)</f>
        <v>0</v>
      </c>
    </row>
    <row r="689" customFormat="false" ht="15" hidden="false" customHeight="false" outlineLevel="0" collapsed="false">
      <c r="A689" s="41" t="str">
        <f aca="false">IF(B689="","",ROW()-3)</f>
        <v/>
      </c>
      <c r="B689" s="42"/>
      <c r="G689" s="44"/>
      <c r="I689" s="44" t="n">
        <f aca="false">IF(G689="",0,G689*S689)</f>
        <v>0</v>
      </c>
      <c r="J689" s="44"/>
      <c r="K689" s="44" t="n">
        <f aca="false">IF(G689="",0,G689-I689-IF(J689="",0,J689))</f>
        <v>0</v>
      </c>
      <c r="L689" s="44" t="n">
        <f aca="false">IF(O689="",0,IFERROR(INDEX(Purchases!I:I,MATCH(O689*1,Purchases!A:A,0)),0))</f>
        <v>0</v>
      </c>
      <c r="M689" s="44" t="n">
        <f aca="false">IF(G689="",0,K689-L689)</f>
        <v>0</v>
      </c>
      <c r="N689" s="49" t="str">
        <f aca="false">IFERROR(IF(G689="","",M689/G689),"")</f>
        <v/>
      </c>
      <c r="S689" s="49" t="n">
        <f aca="false">IFERROR(VLOOKUP(H689,Settings!B14:C25,2,FALSE()),0)</f>
        <v>0</v>
      </c>
    </row>
    <row r="690" customFormat="false" ht="15" hidden="false" customHeight="false" outlineLevel="0" collapsed="false">
      <c r="A690" s="37" t="str">
        <f aca="false">IF(B690="","",ROW()-3)</f>
        <v/>
      </c>
      <c r="B690" s="38"/>
      <c r="C690" s="39"/>
      <c r="D690" s="39"/>
      <c r="E690" s="39"/>
      <c r="F690" s="39"/>
      <c r="G690" s="40"/>
      <c r="H690" s="39"/>
      <c r="I690" s="40" t="n">
        <f aca="false">IF(G690="",0,G690*S690)</f>
        <v>0</v>
      </c>
      <c r="J690" s="40"/>
      <c r="K690" s="40" t="n">
        <f aca="false">IF(G690="",0,G690-I690-IF(J690="",0,J690))</f>
        <v>0</v>
      </c>
      <c r="L690" s="40" t="n">
        <f aca="false">IF(O690="",0,IFERROR(INDEX(Purchases!I:I,MATCH(O690*1,Purchases!A:A,0)),0))</f>
        <v>0</v>
      </c>
      <c r="M690" s="40" t="n">
        <f aca="false">IF(G690="",0,K690-L690)</f>
        <v>0</v>
      </c>
      <c r="N690" s="48" t="str">
        <f aca="false">IFERROR(IF(G690="","",M690/G690),"")</f>
        <v/>
      </c>
      <c r="O690" s="39"/>
      <c r="P690" s="39"/>
      <c r="Q690" s="39"/>
      <c r="R690" s="39"/>
      <c r="S690" s="48" t="n">
        <f aca="false">IFERROR(VLOOKUP(H690,Settings!B14:C25,2,FALSE()),0)</f>
        <v>0</v>
      </c>
    </row>
    <row r="691" customFormat="false" ht="15" hidden="false" customHeight="false" outlineLevel="0" collapsed="false">
      <c r="A691" s="41" t="str">
        <f aca="false">IF(B691="","",ROW()-3)</f>
        <v/>
      </c>
      <c r="B691" s="42"/>
      <c r="G691" s="44"/>
      <c r="I691" s="44" t="n">
        <f aca="false">IF(G691="",0,G691*S691)</f>
        <v>0</v>
      </c>
      <c r="J691" s="44"/>
      <c r="K691" s="44" t="n">
        <f aca="false">IF(G691="",0,G691-I691-IF(J691="",0,J691))</f>
        <v>0</v>
      </c>
      <c r="L691" s="44" t="n">
        <f aca="false">IF(O691="",0,IFERROR(INDEX(Purchases!I:I,MATCH(O691*1,Purchases!A:A,0)),0))</f>
        <v>0</v>
      </c>
      <c r="M691" s="44" t="n">
        <f aca="false">IF(G691="",0,K691-L691)</f>
        <v>0</v>
      </c>
      <c r="N691" s="49" t="str">
        <f aca="false">IFERROR(IF(G691="","",M691/G691),"")</f>
        <v/>
      </c>
      <c r="S691" s="49" t="n">
        <f aca="false">IFERROR(VLOOKUP(H691,Settings!B14:C25,2,FALSE()),0)</f>
        <v>0</v>
      </c>
    </row>
    <row r="692" customFormat="false" ht="15" hidden="false" customHeight="false" outlineLevel="0" collapsed="false">
      <c r="A692" s="37" t="str">
        <f aca="false">IF(B692="","",ROW()-3)</f>
        <v/>
      </c>
      <c r="B692" s="38"/>
      <c r="C692" s="39"/>
      <c r="D692" s="39"/>
      <c r="E692" s="39"/>
      <c r="F692" s="39"/>
      <c r="G692" s="40"/>
      <c r="H692" s="39"/>
      <c r="I692" s="40" t="n">
        <f aca="false">IF(G692="",0,G692*S692)</f>
        <v>0</v>
      </c>
      <c r="J692" s="40"/>
      <c r="K692" s="40" t="n">
        <f aca="false">IF(G692="",0,G692-I692-IF(J692="",0,J692))</f>
        <v>0</v>
      </c>
      <c r="L692" s="40" t="n">
        <f aca="false">IF(O692="",0,IFERROR(INDEX(Purchases!I:I,MATCH(O692*1,Purchases!A:A,0)),0))</f>
        <v>0</v>
      </c>
      <c r="M692" s="40" t="n">
        <f aca="false">IF(G692="",0,K692-L692)</f>
        <v>0</v>
      </c>
      <c r="N692" s="48" t="str">
        <f aca="false">IFERROR(IF(G692="","",M692/G692),"")</f>
        <v/>
      </c>
      <c r="O692" s="39"/>
      <c r="P692" s="39"/>
      <c r="Q692" s="39"/>
      <c r="R692" s="39"/>
      <c r="S692" s="48" t="n">
        <f aca="false">IFERROR(VLOOKUP(H692,Settings!B14:C25,2,FALSE()),0)</f>
        <v>0</v>
      </c>
    </row>
    <row r="693" customFormat="false" ht="15" hidden="false" customHeight="false" outlineLevel="0" collapsed="false">
      <c r="A693" s="41" t="str">
        <f aca="false">IF(B693="","",ROW()-3)</f>
        <v/>
      </c>
      <c r="B693" s="42"/>
      <c r="G693" s="44"/>
      <c r="I693" s="44" t="n">
        <f aca="false">IF(G693="",0,G693*S693)</f>
        <v>0</v>
      </c>
      <c r="J693" s="44"/>
      <c r="K693" s="44" t="n">
        <f aca="false">IF(G693="",0,G693-I693-IF(J693="",0,J693))</f>
        <v>0</v>
      </c>
      <c r="L693" s="44" t="n">
        <f aca="false">IF(O693="",0,IFERROR(INDEX(Purchases!I:I,MATCH(O693*1,Purchases!A:A,0)),0))</f>
        <v>0</v>
      </c>
      <c r="M693" s="44" t="n">
        <f aca="false">IF(G693="",0,K693-L693)</f>
        <v>0</v>
      </c>
      <c r="N693" s="49" t="str">
        <f aca="false">IFERROR(IF(G693="","",M693/G693),"")</f>
        <v/>
      </c>
      <c r="S693" s="49" t="n">
        <f aca="false">IFERROR(VLOOKUP(H693,Settings!B14:C25,2,FALSE()),0)</f>
        <v>0</v>
      </c>
    </row>
    <row r="694" customFormat="false" ht="15" hidden="false" customHeight="false" outlineLevel="0" collapsed="false">
      <c r="A694" s="37" t="str">
        <f aca="false">IF(B694="","",ROW()-3)</f>
        <v/>
      </c>
      <c r="B694" s="38"/>
      <c r="C694" s="39"/>
      <c r="D694" s="39"/>
      <c r="E694" s="39"/>
      <c r="F694" s="39"/>
      <c r="G694" s="40"/>
      <c r="H694" s="39"/>
      <c r="I694" s="40" t="n">
        <f aca="false">IF(G694="",0,G694*S694)</f>
        <v>0</v>
      </c>
      <c r="J694" s="40"/>
      <c r="K694" s="40" t="n">
        <f aca="false">IF(G694="",0,G694-I694-IF(J694="",0,J694))</f>
        <v>0</v>
      </c>
      <c r="L694" s="40" t="n">
        <f aca="false">IF(O694="",0,IFERROR(INDEX(Purchases!I:I,MATCH(O694*1,Purchases!A:A,0)),0))</f>
        <v>0</v>
      </c>
      <c r="M694" s="40" t="n">
        <f aca="false">IF(G694="",0,K694-L694)</f>
        <v>0</v>
      </c>
      <c r="N694" s="48" t="str">
        <f aca="false">IFERROR(IF(G694="","",M694/G694),"")</f>
        <v/>
      </c>
      <c r="O694" s="39"/>
      <c r="P694" s="39"/>
      <c r="Q694" s="39"/>
      <c r="R694" s="39"/>
      <c r="S694" s="48" t="n">
        <f aca="false">IFERROR(VLOOKUP(H694,Settings!B14:C25,2,FALSE()),0)</f>
        <v>0</v>
      </c>
    </row>
    <row r="695" customFormat="false" ht="15" hidden="false" customHeight="false" outlineLevel="0" collapsed="false">
      <c r="A695" s="41" t="str">
        <f aca="false">IF(B695="","",ROW()-3)</f>
        <v/>
      </c>
      <c r="B695" s="42"/>
      <c r="G695" s="44"/>
      <c r="I695" s="44" t="n">
        <f aca="false">IF(G695="",0,G695*S695)</f>
        <v>0</v>
      </c>
      <c r="J695" s="44"/>
      <c r="K695" s="44" t="n">
        <f aca="false">IF(G695="",0,G695-I695-IF(J695="",0,J695))</f>
        <v>0</v>
      </c>
      <c r="L695" s="44" t="n">
        <f aca="false">IF(O695="",0,IFERROR(INDEX(Purchases!I:I,MATCH(O695*1,Purchases!A:A,0)),0))</f>
        <v>0</v>
      </c>
      <c r="M695" s="44" t="n">
        <f aca="false">IF(G695="",0,K695-L695)</f>
        <v>0</v>
      </c>
      <c r="N695" s="49" t="str">
        <f aca="false">IFERROR(IF(G695="","",M695/G695),"")</f>
        <v/>
      </c>
      <c r="S695" s="49" t="n">
        <f aca="false">IFERROR(VLOOKUP(H695,Settings!B14:C25,2,FALSE()),0)</f>
        <v>0</v>
      </c>
    </row>
    <row r="696" customFormat="false" ht="15" hidden="false" customHeight="false" outlineLevel="0" collapsed="false">
      <c r="A696" s="37" t="str">
        <f aca="false">IF(B696="","",ROW()-3)</f>
        <v/>
      </c>
      <c r="B696" s="38"/>
      <c r="C696" s="39"/>
      <c r="D696" s="39"/>
      <c r="E696" s="39"/>
      <c r="F696" s="39"/>
      <c r="G696" s="40"/>
      <c r="H696" s="39"/>
      <c r="I696" s="40" t="n">
        <f aca="false">IF(G696="",0,G696*S696)</f>
        <v>0</v>
      </c>
      <c r="J696" s="40"/>
      <c r="K696" s="40" t="n">
        <f aca="false">IF(G696="",0,G696-I696-IF(J696="",0,J696))</f>
        <v>0</v>
      </c>
      <c r="L696" s="40" t="n">
        <f aca="false">IF(O696="",0,IFERROR(INDEX(Purchases!I:I,MATCH(O696*1,Purchases!A:A,0)),0))</f>
        <v>0</v>
      </c>
      <c r="M696" s="40" t="n">
        <f aca="false">IF(G696="",0,K696-L696)</f>
        <v>0</v>
      </c>
      <c r="N696" s="48" t="str">
        <f aca="false">IFERROR(IF(G696="","",M696/G696),"")</f>
        <v/>
      </c>
      <c r="O696" s="39"/>
      <c r="P696" s="39"/>
      <c r="Q696" s="39"/>
      <c r="R696" s="39"/>
      <c r="S696" s="48" t="n">
        <f aca="false">IFERROR(VLOOKUP(H696,Settings!B14:C25,2,FALSE()),0)</f>
        <v>0</v>
      </c>
    </row>
    <row r="697" customFormat="false" ht="15" hidden="false" customHeight="false" outlineLevel="0" collapsed="false">
      <c r="A697" s="41" t="str">
        <f aca="false">IF(B697="","",ROW()-3)</f>
        <v/>
      </c>
      <c r="B697" s="42"/>
      <c r="G697" s="44"/>
      <c r="I697" s="44" t="n">
        <f aca="false">IF(G697="",0,G697*S697)</f>
        <v>0</v>
      </c>
      <c r="J697" s="44"/>
      <c r="K697" s="44" t="n">
        <f aca="false">IF(G697="",0,G697-I697-IF(J697="",0,J697))</f>
        <v>0</v>
      </c>
      <c r="L697" s="44" t="n">
        <f aca="false">IF(O697="",0,IFERROR(INDEX(Purchases!I:I,MATCH(O697*1,Purchases!A:A,0)),0))</f>
        <v>0</v>
      </c>
      <c r="M697" s="44" t="n">
        <f aca="false">IF(G697="",0,K697-L697)</f>
        <v>0</v>
      </c>
      <c r="N697" s="49" t="str">
        <f aca="false">IFERROR(IF(G697="","",M697/G697),"")</f>
        <v/>
      </c>
      <c r="S697" s="49" t="n">
        <f aca="false">IFERROR(VLOOKUP(H697,Settings!B14:C25,2,FALSE()),0)</f>
        <v>0</v>
      </c>
    </row>
    <row r="698" customFormat="false" ht="15" hidden="false" customHeight="false" outlineLevel="0" collapsed="false">
      <c r="A698" s="37" t="str">
        <f aca="false">IF(B698="","",ROW()-3)</f>
        <v/>
      </c>
      <c r="B698" s="38"/>
      <c r="C698" s="39"/>
      <c r="D698" s="39"/>
      <c r="E698" s="39"/>
      <c r="F698" s="39"/>
      <c r="G698" s="40"/>
      <c r="H698" s="39"/>
      <c r="I698" s="40" t="n">
        <f aca="false">IF(G698="",0,G698*S698)</f>
        <v>0</v>
      </c>
      <c r="J698" s="40"/>
      <c r="K698" s="40" t="n">
        <f aca="false">IF(G698="",0,G698-I698-IF(J698="",0,J698))</f>
        <v>0</v>
      </c>
      <c r="L698" s="40" t="n">
        <f aca="false">IF(O698="",0,IFERROR(INDEX(Purchases!I:I,MATCH(O698*1,Purchases!A:A,0)),0))</f>
        <v>0</v>
      </c>
      <c r="M698" s="40" t="n">
        <f aca="false">IF(G698="",0,K698-L698)</f>
        <v>0</v>
      </c>
      <c r="N698" s="48" t="str">
        <f aca="false">IFERROR(IF(G698="","",M698/G698),"")</f>
        <v/>
      </c>
      <c r="O698" s="39"/>
      <c r="P698" s="39"/>
      <c r="Q698" s="39"/>
      <c r="R698" s="39"/>
      <c r="S698" s="48" t="n">
        <f aca="false">IFERROR(VLOOKUP(H698,Settings!B14:C25,2,FALSE()),0)</f>
        <v>0</v>
      </c>
    </row>
    <row r="699" customFormat="false" ht="15" hidden="false" customHeight="false" outlineLevel="0" collapsed="false">
      <c r="A699" s="41" t="str">
        <f aca="false">IF(B699="","",ROW()-3)</f>
        <v/>
      </c>
      <c r="B699" s="42"/>
      <c r="G699" s="44"/>
      <c r="I699" s="44" t="n">
        <f aca="false">IF(G699="",0,G699*S699)</f>
        <v>0</v>
      </c>
      <c r="J699" s="44"/>
      <c r="K699" s="44" t="n">
        <f aca="false">IF(G699="",0,G699-I699-IF(J699="",0,J699))</f>
        <v>0</v>
      </c>
      <c r="L699" s="44" t="n">
        <f aca="false">IF(O699="",0,IFERROR(INDEX(Purchases!I:I,MATCH(O699*1,Purchases!A:A,0)),0))</f>
        <v>0</v>
      </c>
      <c r="M699" s="44" t="n">
        <f aca="false">IF(G699="",0,K699-L699)</f>
        <v>0</v>
      </c>
      <c r="N699" s="49" t="str">
        <f aca="false">IFERROR(IF(G699="","",M699/G699),"")</f>
        <v/>
      </c>
      <c r="S699" s="49" t="n">
        <f aca="false">IFERROR(VLOOKUP(H699,Settings!B14:C25,2,FALSE()),0)</f>
        <v>0</v>
      </c>
    </row>
    <row r="700" customFormat="false" ht="15" hidden="false" customHeight="false" outlineLevel="0" collapsed="false">
      <c r="A700" s="37" t="str">
        <f aca="false">IF(B700="","",ROW()-3)</f>
        <v/>
      </c>
      <c r="B700" s="38"/>
      <c r="C700" s="39"/>
      <c r="D700" s="39"/>
      <c r="E700" s="39"/>
      <c r="F700" s="39"/>
      <c r="G700" s="40"/>
      <c r="H700" s="39"/>
      <c r="I700" s="40" t="n">
        <f aca="false">IF(G700="",0,G700*S700)</f>
        <v>0</v>
      </c>
      <c r="J700" s="40"/>
      <c r="K700" s="40" t="n">
        <f aca="false">IF(G700="",0,G700-I700-IF(J700="",0,J700))</f>
        <v>0</v>
      </c>
      <c r="L700" s="40" t="n">
        <f aca="false">IF(O700="",0,IFERROR(INDEX(Purchases!I:I,MATCH(O700*1,Purchases!A:A,0)),0))</f>
        <v>0</v>
      </c>
      <c r="M700" s="40" t="n">
        <f aca="false">IF(G700="",0,K700-L700)</f>
        <v>0</v>
      </c>
      <c r="N700" s="48" t="str">
        <f aca="false">IFERROR(IF(G700="","",M700/G700),"")</f>
        <v/>
      </c>
      <c r="O700" s="39"/>
      <c r="P700" s="39"/>
      <c r="Q700" s="39"/>
      <c r="R700" s="39"/>
      <c r="S700" s="48" t="n">
        <f aca="false">IFERROR(VLOOKUP(H700,Settings!B14:C25,2,FALSE()),0)</f>
        <v>0</v>
      </c>
    </row>
    <row r="701" customFormat="false" ht="15" hidden="false" customHeight="false" outlineLevel="0" collapsed="false">
      <c r="A701" s="41" t="str">
        <f aca="false">IF(B701="","",ROW()-3)</f>
        <v/>
      </c>
      <c r="B701" s="42"/>
      <c r="G701" s="44"/>
      <c r="I701" s="44" t="n">
        <f aca="false">IF(G701="",0,G701*S701)</f>
        <v>0</v>
      </c>
      <c r="J701" s="44"/>
      <c r="K701" s="44" t="n">
        <f aca="false">IF(G701="",0,G701-I701-IF(J701="",0,J701))</f>
        <v>0</v>
      </c>
      <c r="L701" s="44" t="n">
        <f aca="false">IF(O701="",0,IFERROR(INDEX(Purchases!I:I,MATCH(O701*1,Purchases!A:A,0)),0))</f>
        <v>0</v>
      </c>
      <c r="M701" s="44" t="n">
        <f aca="false">IF(G701="",0,K701-L701)</f>
        <v>0</v>
      </c>
      <c r="N701" s="49" t="str">
        <f aca="false">IFERROR(IF(G701="","",M701/G701),"")</f>
        <v/>
      </c>
      <c r="S701" s="49" t="n">
        <f aca="false">IFERROR(VLOOKUP(H701,Settings!B14:C25,2,FALSE()),0)</f>
        <v>0</v>
      </c>
    </row>
    <row r="702" customFormat="false" ht="15" hidden="false" customHeight="false" outlineLevel="0" collapsed="false">
      <c r="A702" s="37" t="str">
        <f aca="false">IF(B702="","",ROW()-3)</f>
        <v/>
      </c>
      <c r="B702" s="38"/>
      <c r="C702" s="39"/>
      <c r="D702" s="39"/>
      <c r="E702" s="39"/>
      <c r="F702" s="39"/>
      <c r="G702" s="40"/>
      <c r="H702" s="39"/>
      <c r="I702" s="40" t="n">
        <f aca="false">IF(G702="",0,G702*S702)</f>
        <v>0</v>
      </c>
      <c r="J702" s="40"/>
      <c r="K702" s="40" t="n">
        <f aca="false">IF(G702="",0,G702-I702-IF(J702="",0,J702))</f>
        <v>0</v>
      </c>
      <c r="L702" s="40" t="n">
        <f aca="false">IF(O702="",0,IFERROR(INDEX(Purchases!I:I,MATCH(O702*1,Purchases!A:A,0)),0))</f>
        <v>0</v>
      </c>
      <c r="M702" s="40" t="n">
        <f aca="false">IF(G702="",0,K702-L702)</f>
        <v>0</v>
      </c>
      <c r="N702" s="48" t="str">
        <f aca="false">IFERROR(IF(G702="","",M702/G702),"")</f>
        <v/>
      </c>
      <c r="O702" s="39"/>
      <c r="P702" s="39"/>
      <c r="Q702" s="39"/>
      <c r="R702" s="39"/>
      <c r="S702" s="48" t="n">
        <f aca="false">IFERROR(VLOOKUP(H702,Settings!B14:C25,2,FALSE()),0)</f>
        <v>0</v>
      </c>
    </row>
    <row r="703" customFormat="false" ht="15" hidden="false" customHeight="false" outlineLevel="0" collapsed="false">
      <c r="A703" s="41" t="str">
        <f aca="false">IF(B703="","",ROW()-3)</f>
        <v/>
      </c>
      <c r="B703" s="42"/>
      <c r="G703" s="44"/>
      <c r="I703" s="44" t="n">
        <f aca="false">IF(G703="",0,G703*S703)</f>
        <v>0</v>
      </c>
      <c r="J703" s="44"/>
      <c r="K703" s="44" t="n">
        <f aca="false">IF(G703="",0,G703-I703-IF(J703="",0,J703))</f>
        <v>0</v>
      </c>
      <c r="L703" s="44" t="n">
        <f aca="false">IF(O703="",0,IFERROR(INDEX(Purchases!I:I,MATCH(O703*1,Purchases!A:A,0)),0))</f>
        <v>0</v>
      </c>
      <c r="M703" s="44" t="n">
        <f aca="false">IF(G703="",0,K703-L703)</f>
        <v>0</v>
      </c>
      <c r="N703" s="49" t="str">
        <f aca="false">IFERROR(IF(G703="","",M703/G703),"")</f>
        <v/>
      </c>
      <c r="S703" s="49" t="n">
        <f aca="false">IFERROR(VLOOKUP(H703,Settings!B14:C25,2,FALSE()),0)</f>
        <v>0</v>
      </c>
    </row>
    <row r="704" customFormat="false" ht="15" hidden="false" customHeight="false" outlineLevel="0" collapsed="false">
      <c r="A704" s="37" t="str">
        <f aca="false">IF(B704="","",ROW()-3)</f>
        <v/>
      </c>
      <c r="B704" s="38"/>
      <c r="C704" s="39"/>
      <c r="D704" s="39"/>
      <c r="E704" s="39"/>
      <c r="F704" s="39"/>
      <c r="G704" s="40"/>
      <c r="H704" s="39"/>
      <c r="I704" s="40" t="n">
        <f aca="false">IF(G704="",0,G704*S704)</f>
        <v>0</v>
      </c>
      <c r="J704" s="40"/>
      <c r="K704" s="40" t="n">
        <f aca="false">IF(G704="",0,G704-I704-IF(J704="",0,J704))</f>
        <v>0</v>
      </c>
      <c r="L704" s="40" t="n">
        <f aca="false">IF(O704="",0,IFERROR(INDEX(Purchases!I:I,MATCH(O704*1,Purchases!A:A,0)),0))</f>
        <v>0</v>
      </c>
      <c r="M704" s="40" t="n">
        <f aca="false">IF(G704="",0,K704-L704)</f>
        <v>0</v>
      </c>
      <c r="N704" s="48" t="str">
        <f aca="false">IFERROR(IF(G704="","",M704/G704),"")</f>
        <v/>
      </c>
      <c r="O704" s="39"/>
      <c r="P704" s="39"/>
      <c r="Q704" s="39"/>
      <c r="R704" s="39"/>
      <c r="S704" s="48" t="n">
        <f aca="false">IFERROR(VLOOKUP(H704,Settings!B14:C25,2,FALSE()),0)</f>
        <v>0</v>
      </c>
    </row>
    <row r="705" customFormat="false" ht="15" hidden="false" customHeight="false" outlineLevel="0" collapsed="false">
      <c r="A705" s="41" t="str">
        <f aca="false">IF(B705="","",ROW()-3)</f>
        <v/>
      </c>
      <c r="B705" s="42"/>
      <c r="G705" s="44"/>
      <c r="I705" s="44" t="n">
        <f aca="false">IF(G705="",0,G705*S705)</f>
        <v>0</v>
      </c>
      <c r="J705" s="44"/>
      <c r="K705" s="44" t="n">
        <f aca="false">IF(G705="",0,G705-I705-IF(J705="",0,J705))</f>
        <v>0</v>
      </c>
      <c r="L705" s="44" t="n">
        <f aca="false">IF(O705="",0,IFERROR(INDEX(Purchases!I:I,MATCH(O705*1,Purchases!A:A,0)),0))</f>
        <v>0</v>
      </c>
      <c r="M705" s="44" t="n">
        <f aca="false">IF(G705="",0,K705-L705)</f>
        <v>0</v>
      </c>
      <c r="N705" s="49" t="str">
        <f aca="false">IFERROR(IF(G705="","",M705/G705),"")</f>
        <v/>
      </c>
      <c r="S705" s="49" t="n">
        <f aca="false">IFERROR(VLOOKUP(H705,Settings!B14:C25,2,FALSE()),0)</f>
        <v>0</v>
      </c>
    </row>
    <row r="706" customFormat="false" ht="15" hidden="false" customHeight="false" outlineLevel="0" collapsed="false">
      <c r="A706" s="37" t="str">
        <f aca="false">IF(B706="","",ROW()-3)</f>
        <v/>
      </c>
      <c r="B706" s="38"/>
      <c r="C706" s="39"/>
      <c r="D706" s="39"/>
      <c r="E706" s="39"/>
      <c r="F706" s="39"/>
      <c r="G706" s="40"/>
      <c r="H706" s="39"/>
      <c r="I706" s="40" t="n">
        <f aca="false">IF(G706="",0,G706*S706)</f>
        <v>0</v>
      </c>
      <c r="J706" s="40"/>
      <c r="K706" s="40" t="n">
        <f aca="false">IF(G706="",0,G706-I706-IF(J706="",0,J706))</f>
        <v>0</v>
      </c>
      <c r="L706" s="40" t="n">
        <f aca="false">IF(O706="",0,IFERROR(INDEX(Purchases!I:I,MATCH(O706*1,Purchases!A:A,0)),0))</f>
        <v>0</v>
      </c>
      <c r="M706" s="40" t="n">
        <f aca="false">IF(G706="",0,K706-L706)</f>
        <v>0</v>
      </c>
      <c r="N706" s="48" t="str">
        <f aca="false">IFERROR(IF(G706="","",M706/G706),"")</f>
        <v/>
      </c>
      <c r="O706" s="39"/>
      <c r="P706" s="39"/>
      <c r="Q706" s="39"/>
      <c r="R706" s="39"/>
      <c r="S706" s="48" t="n">
        <f aca="false">IFERROR(VLOOKUP(H706,Settings!B14:C25,2,FALSE()),0)</f>
        <v>0</v>
      </c>
    </row>
    <row r="707" customFormat="false" ht="15" hidden="false" customHeight="false" outlineLevel="0" collapsed="false">
      <c r="A707" s="41" t="str">
        <f aca="false">IF(B707="","",ROW()-3)</f>
        <v/>
      </c>
      <c r="B707" s="42"/>
      <c r="G707" s="44"/>
      <c r="I707" s="44" t="n">
        <f aca="false">IF(G707="",0,G707*S707)</f>
        <v>0</v>
      </c>
      <c r="J707" s="44"/>
      <c r="K707" s="44" t="n">
        <f aca="false">IF(G707="",0,G707-I707-IF(J707="",0,J707))</f>
        <v>0</v>
      </c>
      <c r="L707" s="44" t="n">
        <f aca="false">IF(O707="",0,IFERROR(INDEX(Purchases!I:I,MATCH(O707*1,Purchases!A:A,0)),0))</f>
        <v>0</v>
      </c>
      <c r="M707" s="44" t="n">
        <f aca="false">IF(G707="",0,K707-L707)</f>
        <v>0</v>
      </c>
      <c r="N707" s="49" t="str">
        <f aca="false">IFERROR(IF(G707="","",M707/G707),"")</f>
        <v/>
      </c>
      <c r="S707" s="49" t="n">
        <f aca="false">IFERROR(VLOOKUP(H707,Settings!B14:C25,2,FALSE()),0)</f>
        <v>0</v>
      </c>
    </row>
    <row r="708" customFormat="false" ht="15" hidden="false" customHeight="false" outlineLevel="0" collapsed="false">
      <c r="A708" s="37" t="str">
        <f aca="false">IF(B708="","",ROW()-3)</f>
        <v/>
      </c>
      <c r="B708" s="38"/>
      <c r="C708" s="39"/>
      <c r="D708" s="39"/>
      <c r="E708" s="39"/>
      <c r="F708" s="39"/>
      <c r="G708" s="40"/>
      <c r="H708" s="39"/>
      <c r="I708" s="40" t="n">
        <f aca="false">IF(G708="",0,G708*S708)</f>
        <v>0</v>
      </c>
      <c r="J708" s="40"/>
      <c r="K708" s="40" t="n">
        <f aca="false">IF(G708="",0,G708-I708-IF(J708="",0,J708))</f>
        <v>0</v>
      </c>
      <c r="L708" s="40" t="n">
        <f aca="false">IF(O708="",0,IFERROR(INDEX(Purchases!I:I,MATCH(O708*1,Purchases!A:A,0)),0))</f>
        <v>0</v>
      </c>
      <c r="M708" s="40" t="n">
        <f aca="false">IF(G708="",0,K708-L708)</f>
        <v>0</v>
      </c>
      <c r="N708" s="48" t="str">
        <f aca="false">IFERROR(IF(G708="","",M708/G708),"")</f>
        <v/>
      </c>
      <c r="O708" s="39"/>
      <c r="P708" s="39"/>
      <c r="Q708" s="39"/>
      <c r="R708" s="39"/>
      <c r="S708" s="48" t="n">
        <f aca="false">IFERROR(VLOOKUP(H708,Settings!B14:C25,2,FALSE()),0)</f>
        <v>0</v>
      </c>
    </row>
    <row r="709" customFormat="false" ht="15" hidden="false" customHeight="false" outlineLevel="0" collapsed="false">
      <c r="A709" s="41" t="str">
        <f aca="false">IF(B709="","",ROW()-3)</f>
        <v/>
      </c>
      <c r="B709" s="42"/>
      <c r="G709" s="44"/>
      <c r="I709" s="44" t="n">
        <f aca="false">IF(G709="",0,G709*S709)</f>
        <v>0</v>
      </c>
      <c r="J709" s="44"/>
      <c r="K709" s="44" t="n">
        <f aca="false">IF(G709="",0,G709-I709-IF(J709="",0,J709))</f>
        <v>0</v>
      </c>
      <c r="L709" s="44" t="n">
        <f aca="false">IF(O709="",0,IFERROR(INDEX(Purchases!I:I,MATCH(O709*1,Purchases!A:A,0)),0))</f>
        <v>0</v>
      </c>
      <c r="M709" s="44" t="n">
        <f aca="false">IF(G709="",0,K709-L709)</f>
        <v>0</v>
      </c>
      <c r="N709" s="49" t="str">
        <f aca="false">IFERROR(IF(G709="","",M709/G709),"")</f>
        <v/>
      </c>
      <c r="S709" s="49" t="n">
        <f aca="false">IFERROR(VLOOKUP(H709,Settings!B14:C25,2,FALSE()),0)</f>
        <v>0</v>
      </c>
    </row>
    <row r="710" customFormat="false" ht="15" hidden="false" customHeight="false" outlineLevel="0" collapsed="false">
      <c r="A710" s="37" t="str">
        <f aca="false">IF(B710="","",ROW()-3)</f>
        <v/>
      </c>
      <c r="B710" s="38"/>
      <c r="C710" s="39"/>
      <c r="D710" s="39"/>
      <c r="E710" s="39"/>
      <c r="F710" s="39"/>
      <c r="G710" s="40"/>
      <c r="H710" s="39"/>
      <c r="I710" s="40" t="n">
        <f aca="false">IF(G710="",0,G710*S710)</f>
        <v>0</v>
      </c>
      <c r="J710" s="40"/>
      <c r="K710" s="40" t="n">
        <f aca="false">IF(G710="",0,G710-I710-IF(J710="",0,J710))</f>
        <v>0</v>
      </c>
      <c r="L710" s="40" t="n">
        <f aca="false">IF(O710="",0,IFERROR(INDEX(Purchases!I:I,MATCH(O710*1,Purchases!A:A,0)),0))</f>
        <v>0</v>
      </c>
      <c r="M710" s="40" t="n">
        <f aca="false">IF(G710="",0,K710-L710)</f>
        <v>0</v>
      </c>
      <c r="N710" s="48" t="str">
        <f aca="false">IFERROR(IF(G710="","",M710/G710),"")</f>
        <v/>
      </c>
      <c r="O710" s="39"/>
      <c r="P710" s="39"/>
      <c r="Q710" s="39"/>
      <c r="R710" s="39"/>
      <c r="S710" s="48" t="n">
        <f aca="false">IFERROR(VLOOKUP(H710,Settings!B14:C25,2,FALSE()),0)</f>
        <v>0</v>
      </c>
    </row>
    <row r="711" customFormat="false" ht="15" hidden="false" customHeight="false" outlineLevel="0" collapsed="false">
      <c r="A711" s="41" t="str">
        <f aca="false">IF(B711="","",ROW()-3)</f>
        <v/>
      </c>
      <c r="B711" s="42"/>
      <c r="G711" s="44"/>
      <c r="I711" s="44" t="n">
        <f aca="false">IF(G711="",0,G711*S711)</f>
        <v>0</v>
      </c>
      <c r="J711" s="44"/>
      <c r="K711" s="44" t="n">
        <f aca="false">IF(G711="",0,G711-I711-IF(J711="",0,J711))</f>
        <v>0</v>
      </c>
      <c r="L711" s="44" t="n">
        <f aca="false">IF(O711="",0,IFERROR(INDEX(Purchases!I:I,MATCH(O711*1,Purchases!A:A,0)),0))</f>
        <v>0</v>
      </c>
      <c r="M711" s="44" t="n">
        <f aca="false">IF(G711="",0,K711-L711)</f>
        <v>0</v>
      </c>
      <c r="N711" s="49" t="str">
        <f aca="false">IFERROR(IF(G711="","",M711/G711),"")</f>
        <v/>
      </c>
      <c r="S711" s="49" t="n">
        <f aca="false">IFERROR(VLOOKUP(H711,Settings!B14:C25,2,FALSE()),0)</f>
        <v>0</v>
      </c>
    </row>
    <row r="712" customFormat="false" ht="15" hidden="false" customHeight="false" outlineLevel="0" collapsed="false">
      <c r="A712" s="37" t="str">
        <f aca="false">IF(B712="","",ROW()-3)</f>
        <v/>
      </c>
      <c r="B712" s="38"/>
      <c r="C712" s="39"/>
      <c r="D712" s="39"/>
      <c r="E712" s="39"/>
      <c r="F712" s="39"/>
      <c r="G712" s="40"/>
      <c r="H712" s="39"/>
      <c r="I712" s="40" t="n">
        <f aca="false">IF(G712="",0,G712*S712)</f>
        <v>0</v>
      </c>
      <c r="J712" s="40"/>
      <c r="K712" s="40" t="n">
        <f aca="false">IF(G712="",0,G712-I712-IF(J712="",0,J712))</f>
        <v>0</v>
      </c>
      <c r="L712" s="40" t="n">
        <f aca="false">IF(O712="",0,IFERROR(INDEX(Purchases!I:I,MATCH(O712*1,Purchases!A:A,0)),0))</f>
        <v>0</v>
      </c>
      <c r="M712" s="40" t="n">
        <f aca="false">IF(G712="",0,K712-L712)</f>
        <v>0</v>
      </c>
      <c r="N712" s="48" t="str">
        <f aca="false">IFERROR(IF(G712="","",M712/G712),"")</f>
        <v/>
      </c>
      <c r="O712" s="39"/>
      <c r="P712" s="39"/>
      <c r="Q712" s="39"/>
      <c r="R712" s="39"/>
      <c r="S712" s="48" t="n">
        <f aca="false">IFERROR(VLOOKUP(H712,Settings!B14:C25,2,FALSE()),0)</f>
        <v>0</v>
      </c>
    </row>
    <row r="713" customFormat="false" ht="15" hidden="false" customHeight="false" outlineLevel="0" collapsed="false">
      <c r="A713" s="41" t="str">
        <f aca="false">IF(B713="","",ROW()-3)</f>
        <v/>
      </c>
      <c r="B713" s="42"/>
      <c r="G713" s="44"/>
      <c r="I713" s="44" t="n">
        <f aca="false">IF(G713="",0,G713*S713)</f>
        <v>0</v>
      </c>
      <c r="J713" s="44"/>
      <c r="K713" s="44" t="n">
        <f aca="false">IF(G713="",0,G713-I713-IF(J713="",0,J713))</f>
        <v>0</v>
      </c>
      <c r="L713" s="44" t="n">
        <f aca="false">IF(O713="",0,IFERROR(INDEX(Purchases!I:I,MATCH(O713*1,Purchases!A:A,0)),0))</f>
        <v>0</v>
      </c>
      <c r="M713" s="44" t="n">
        <f aca="false">IF(G713="",0,K713-L713)</f>
        <v>0</v>
      </c>
      <c r="N713" s="49" t="str">
        <f aca="false">IFERROR(IF(G713="","",M713/G713),"")</f>
        <v/>
      </c>
      <c r="S713" s="49" t="n">
        <f aca="false">IFERROR(VLOOKUP(H713,Settings!B14:C25,2,FALSE()),0)</f>
        <v>0</v>
      </c>
    </row>
    <row r="714" customFormat="false" ht="15" hidden="false" customHeight="false" outlineLevel="0" collapsed="false">
      <c r="A714" s="37" t="str">
        <f aca="false">IF(B714="","",ROW()-3)</f>
        <v/>
      </c>
      <c r="B714" s="38"/>
      <c r="C714" s="39"/>
      <c r="D714" s="39"/>
      <c r="E714" s="39"/>
      <c r="F714" s="39"/>
      <c r="G714" s="40"/>
      <c r="H714" s="39"/>
      <c r="I714" s="40" t="n">
        <f aca="false">IF(G714="",0,G714*S714)</f>
        <v>0</v>
      </c>
      <c r="J714" s="40"/>
      <c r="K714" s="40" t="n">
        <f aca="false">IF(G714="",0,G714-I714-IF(J714="",0,J714))</f>
        <v>0</v>
      </c>
      <c r="L714" s="40" t="n">
        <f aca="false">IF(O714="",0,IFERROR(INDEX(Purchases!I:I,MATCH(O714*1,Purchases!A:A,0)),0))</f>
        <v>0</v>
      </c>
      <c r="M714" s="40" t="n">
        <f aca="false">IF(G714="",0,K714-L714)</f>
        <v>0</v>
      </c>
      <c r="N714" s="48" t="str">
        <f aca="false">IFERROR(IF(G714="","",M714/G714),"")</f>
        <v/>
      </c>
      <c r="O714" s="39"/>
      <c r="P714" s="39"/>
      <c r="Q714" s="39"/>
      <c r="R714" s="39"/>
      <c r="S714" s="48" t="n">
        <f aca="false">IFERROR(VLOOKUP(H714,Settings!B14:C25,2,FALSE()),0)</f>
        <v>0</v>
      </c>
    </row>
    <row r="715" customFormat="false" ht="15" hidden="false" customHeight="false" outlineLevel="0" collapsed="false">
      <c r="A715" s="41" t="str">
        <f aca="false">IF(B715="","",ROW()-3)</f>
        <v/>
      </c>
      <c r="B715" s="42"/>
      <c r="G715" s="44"/>
      <c r="I715" s="44" t="n">
        <f aca="false">IF(G715="",0,G715*S715)</f>
        <v>0</v>
      </c>
      <c r="J715" s="44"/>
      <c r="K715" s="44" t="n">
        <f aca="false">IF(G715="",0,G715-I715-IF(J715="",0,J715))</f>
        <v>0</v>
      </c>
      <c r="L715" s="44" t="n">
        <f aca="false">IF(O715="",0,IFERROR(INDEX(Purchases!I:I,MATCH(O715*1,Purchases!A:A,0)),0))</f>
        <v>0</v>
      </c>
      <c r="M715" s="44" t="n">
        <f aca="false">IF(G715="",0,K715-L715)</f>
        <v>0</v>
      </c>
      <c r="N715" s="49" t="str">
        <f aca="false">IFERROR(IF(G715="","",M715/G715),"")</f>
        <v/>
      </c>
      <c r="S715" s="49" t="n">
        <f aca="false">IFERROR(VLOOKUP(H715,Settings!B14:C25,2,FALSE()),0)</f>
        <v>0</v>
      </c>
    </row>
    <row r="716" customFormat="false" ht="15" hidden="false" customHeight="false" outlineLevel="0" collapsed="false">
      <c r="A716" s="37" t="str">
        <f aca="false">IF(B716="","",ROW()-3)</f>
        <v/>
      </c>
      <c r="B716" s="38"/>
      <c r="C716" s="39"/>
      <c r="D716" s="39"/>
      <c r="E716" s="39"/>
      <c r="F716" s="39"/>
      <c r="G716" s="40"/>
      <c r="H716" s="39"/>
      <c r="I716" s="40" t="n">
        <f aca="false">IF(G716="",0,G716*S716)</f>
        <v>0</v>
      </c>
      <c r="J716" s="40"/>
      <c r="K716" s="40" t="n">
        <f aca="false">IF(G716="",0,G716-I716-IF(J716="",0,J716))</f>
        <v>0</v>
      </c>
      <c r="L716" s="40" t="n">
        <f aca="false">IF(O716="",0,IFERROR(INDEX(Purchases!I:I,MATCH(O716*1,Purchases!A:A,0)),0))</f>
        <v>0</v>
      </c>
      <c r="M716" s="40" t="n">
        <f aca="false">IF(G716="",0,K716-L716)</f>
        <v>0</v>
      </c>
      <c r="N716" s="48" t="str">
        <f aca="false">IFERROR(IF(G716="","",M716/G716),"")</f>
        <v/>
      </c>
      <c r="O716" s="39"/>
      <c r="P716" s="39"/>
      <c r="Q716" s="39"/>
      <c r="R716" s="39"/>
      <c r="S716" s="48" t="n">
        <f aca="false">IFERROR(VLOOKUP(H716,Settings!B14:C25,2,FALSE()),0)</f>
        <v>0</v>
      </c>
    </row>
    <row r="717" customFormat="false" ht="15" hidden="false" customHeight="false" outlineLevel="0" collapsed="false">
      <c r="A717" s="41" t="str">
        <f aca="false">IF(B717="","",ROW()-3)</f>
        <v/>
      </c>
      <c r="B717" s="42"/>
      <c r="G717" s="44"/>
      <c r="I717" s="44" t="n">
        <f aca="false">IF(G717="",0,G717*S717)</f>
        <v>0</v>
      </c>
      <c r="J717" s="44"/>
      <c r="K717" s="44" t="n">
        <f aca="false">IF(G717="",0,G717-I717-IF(J717="",0,J717))</f>
        <v>0</v>
      </c>
      <c r="L717" s="44" t="n">
        <f aca="false">IF(O717="",0,IFERROR(INDEX(Purchases!I:I,MATCH(O717*1,Purchases!A:A,0)),0))</f>
        <v>0</v>
      </c>
      <c r="M717" s="44" t="n">
        <f aca="false">IF(G717="",0,K717-L717)</f>
        <v>0</v>
      </c>
      <c r="N717" s="49" t="str">
        <f aca="false">IFERROR(IF(G717="","",M717/G717),"")</f>
        <v/>
      </c>
      <c r="S717" s="49" t="n">
        <f aca="false">IFERROR(VLOOKUP(H717,Settings!B14:C25,2,FALSE()),0)</f>
        <v>0</v>
      </c>
    </row>
    <row r="718" customFormat="false" ht="15" hidden="false" customHeight="false" outlineLevel="0" collapsed="false">
      <c r="A718" s="37" t="str">
        <f aca="false">IF(B718="","",ROW()-3)</f>
        <v/>
      </c>
      <c r="B718" s="38"/>
      <c r="C718" s="39"/>
      <c r="D718" s="39"/>
      <c r="E718" s="39"/>
      <c r="F718" s="39"/>
      <c r="G718" s="40"/>
      <c r="H718" s="39"/>
      <c r="I718" s="40" t="n">
        <f aca="false">IF(G718="",0,G718*S718)</f>
        <v>0</v>
      </c>
      <c r="J718" s="40"/>
      <c r="K718" s="40" t="n">
        <f aca="false">IF(G718="",0,G718-I718-IF(J718="",0,J718))</f>
        <v>0</v>
      </c>
      <c r="L718" s="40" t="n">
        <f aca="false">IF(O718="",0,IFERROR(INDEX(Purchases!I:I,MATCH(O718*1,Purchases!A:A,0)),0))</f>
        <v>0</v>
      </c>
      <c r="M718" s="40" t="n">
        <f aca="false">IF(G718="",0,K718-L718)</f>
        <v>0</v>
      </c>
      <c r="N718" s="48" t="str">
        <f aca="false">IFERROR(IF(G718="","",M718/G718),"")</f>
        <v/>
      </c>
      <c r="O718" s="39"/>
      <c r="P718" s="39"/>
      <c r="Q718" s="39"/>
      <c r="R718" s="39"/>
      <c r="S718" s="48" t="n">
        <f aca="false">IFERROR(VLOOKUP(H718,Settings!B14:C25,2,FALSE()),0)</f>
        <v>0</v>
      </c>
    </row>
    <row r="719" customFormat="false" ht="15" hidden="false" customHeight="false" outlineLevel="0" collapsed="false">
      <c r="A719" s="41" t="str">
        <f aca="false">IF(B719="","",ROW()-3)</f>
        <v/>
      </c>
      <c r="B719" s="42"/>
      <c r="G719" s="44"/>
      <c r="I719" s="44" t="n">
        <f aca="false">IF(G719="",0,G719*S719)</f>
        <v>0</v>
      </c>
      <c r="J719" s="44"/>
      <c r="K719" s="44" t="n">
        <f aca="false">IF(G719="",0,G719-I719-IF(J719="",0,J719))</f>
        <v>0</v>
      </c>
      <c r="L719" s="44" t="n">
        <f aca="false">IF(O719="",0,IFERROR(INDEX(Purchases!I:I,MATCH(O719*1,Purchases!A:A,0)),0))</f>
        <v>0</v>
      </c>
      <c r="M719" s="44" t="n">
        <f aca="false">IF(G719="",0,K719-L719)</f>
        <v>0</v>
      </c>
      <c r="N719" s="49" t="str">
        <f aca="false">IFERROR(IF(G719="","",M719/G719),"")</f>
        <v/>
      </c>
      <c r="S719" s="49" t="n">
        <f aca="false">IFERROR(VLOOKUP(H719,Settings!B14:C25,2,FALSE()),0)</f>
        <v>0</v>
      </c>
    </row>
    <row r="720" customFormat="false" ht="15" hidden="false" customHeight="false" outlineLevel="0" collapsed="false">
      <c r="A720" s="37" t="str">
        <f aca="false">IF(B720="","",ROW()-3)</f>
        <v/>
      </c>
      <c r="B720" s="38"/>
      <c r="C720" s="39"/>
      <c r="D720" s="39"/>
      <c r="E720" s="39"/>
      <c r="F720" s="39"/>
      <c r="G720" s="40"/>
      <c r="H720" s="39"/>
      <c r="I720" s="40" t="n">
        <f aca="false">IF(G720="",0,G720*S720)</f>
        <v>0</v>
      </c>
      <c r="J720" s="40"/>
      <c r="K720" s="40" t="n">
        <f aca="false">IF(G720="",0,G720-I720-IF(J720="",0,J720))</f>
        <v>0</v>
      </c>
      <c r="L720" s="40" t="n">
        <f aca="false">IF(O720="",0,IFERROR(INDEX(Purchases!I:I,MATCH(O720*1,Purchases!A:A,0)),0))</f>
        <v>0</v>
      </c>
      <c r="M720" s="40" t="n">
        <f aca="false">IF(G720="",0,K720-L720)</f>
        <v>0</v>
      </c>
      <c r="N720" s="48" t="str">
        <f aca="false">IFERROR(IF(G720="","",M720/G720),"")</f>
        <v/>
      </c>
      <c r="O720" s="39"/>
      <c r="P720" s="39"/>
      <c r="Q720" s="39"/>
      <c r="R720" s="39"/>
      <c r="S720" s="48" t="n">
        <f aca="false">IFERROR(VLOOKUP(H720,Settings!B14:C25,2,FALSE()),0)</f>
        <v>0</v>
      </c>
    </row>
    <row r="721" customFormat="false" ht="15" hidden="false" customHeight="false" outlineLevel="0" collapsed="false">
      <c r="A721" s="41" t="str">
        <f aca="false">IF(B721="","",ROW()-3)</f>
        <v/>
      </c>
      <c r="B721" s="42"/>
      <c r="G721" s="44"/>
      <c r="I721" s="44" t="n">
        <f aca="false">IF(G721="",0,G721*S721)</f>
        <v>0</v>
      </c>
      <c r="J721" s="44"/>
      <c r="K721" s="44" t="n">
        <f aca="false">IF(G721="",0,G721-I721-IF(J721="",0,J721))</f>
        <v>0</v>
      </c>
      <c r="L721" s="44" t="n">
        <f aca="false">IF(O721="",0,IFERROR(INDEX(Purchases!I:I,MATCH(O721*1,Purchases!A:A,0)),0))</f>
        <v>0</v>
      </c>
      <c r="M721" s="44" t="n">
        <f aca="false">IF(G721="",0,K721-L721)</f>
        <v>0</v>
      </c>
      <c r="N721" s="49" t="str">
        <f aca="false">IFERROR(IF(G721="","",M721/G721),"")</f>
        <v/>
      </c>
      <c r="S721" s="49" t="n">
        <f aca="false">IFERROR(VLOOKUP(H721,Settings!B14:C25,2,FALSE()),0)</f>
        <v>0</v>
      </c>
    </row>
    <row r="722" customFormat="false" ht="15" hidden="false" customHeight="false" outlineLevel="0" collapsed="false">
      <c r="A722" s="37" t="str">
        <f aca="false">IF(B722="","",ROW()-3)</f>
        <v/>
      </c>
      <c r="B722" s="38"/>
      <c r="C722" s="39"/>
      <c r="D722" s="39"/>
      <c r="E722" s="39"/>
      <c r="F722" s="39"/>
      <c r="G722" s="40"/>
      <c r="H722" s="39"/>
      <c r="I722" s="40" t="n">
        <f aca="false">IF(G722="",0,G722*S722)</f>
        <v>0</v>
      </c>
      <c r="J722" s="40"/>
      <c r="K722" s="40" t="n">
        <f aca="false">IF(G722="",0,G722-I722-IF(J722="",0,J722))</f>
        <v>0</v>
      </c>
      <c r="L722" s="40" t="n">
        <f aca="false">IF(O722="",0,IFERROR(INDEX(Purchases!I:I,MATCH(O722*1,Purchases!A:A,0)),0))</f>
        <v>0</v>
      </c>
      <c r="M722" s="40" t="n">
        <f aca="false">IF(G722="",0,K722-L722)</f>
        <v>0</v>
      </c>
      <c r="N722" s="48" t="str">
        <f aca="false">IFERROR(IF(G722="","",M722/G722),"")</f>
        <v/>
      </c>
      <c r="O722" s="39"/>
      <c r="P722" s="39"/>
      <c r="Q722" s="39"/>
      <c r="R722" s="39"/>
      <c r="S722" s="48" t="n">
        <f aca="false">IFERROR(VLOOKUP(H722,Settings!B14:C25,2,FALSE()),0)</f>
        <v>0</v>
      </c>
    </row>
    <row r="723" customFormat="false" ht="15" hidden="false" customHeight="false" outlineLevel="0" collapsed="false">
      <c r="A723" s="41" t="str">
        <f aca="false">IF(B723="","",ROW()-3)</f>
        <v/>
      </c>
      <c r="B723" s="42"/>
      <c r="G723" s="44"/>
      <c r="I723" s="44" t="n">
        <f aca="false">IF(G723="",0,G723*S723)</f>
        <v>0</v>
      </c>
      <c r="J723" s="44"/>
      <c r="K723" s="44" t="n">
        <f aca="false">IF(G723="",0,G723-I723-IF(J723="",0,J723))</f>
        <v>0</v>
      </c>
      <c r="L723" s="44" t="n">
        <f aca="false">IF(O723="",0,IFERROR(INDEX(Purchases!I:I,MATCH(O723*1,Purchases!A:A,0)),0))</f>
        <v>0</v>
      </c>
      <c r="M723" s="44" t="n">
        <f aca="false">IF(G723="",0,K723-L723)</f>
        <v>0</v>
      </c>
      <c r="N723" s="49" t="str">
        <f aca="false">IFERROR(IF(G723="","",M723/G723),"")</f>
        <v/>
      </c>
      <c r="S723" s="49" t="n">
        <f aca="false">IFERROR(VLOOKUP(H723,Settings!B14:C25,2,FALSE()),0)</f>
        <v>0</v>
      </c>
    </row>
    <row r="724" customFormat="false" ht="15" hidden="false" customHeight="false" outlineLevel="0" collapsed="false">
      <c r="A724" s="37" t="str">
        <f aca="false">IF(B724="","",ROW()-3)</f>
        <v/>
      </c>
      <c r="B724" s="38"/>
      <c r="C724" s="39"/>
      <c r="D724" s="39"/>
      <c r="E724" s="39"/>
      <c r="F724" s="39"/>
      <c r="G724" s="40"/>
      <c r="H724" s="39"/>
      <c r="I724" s="40" t="n">
        <f aca="false">IF(G724="",0,G724*S724)</f>
        <v>0</v>
      </c>
      <c r="J724" s="40"/>
      <c r="K724" s="40" t="n">
        <f aca="false">IF(G724="",0,G724-I724-IF(J724="",0,J724))</f>
        <v>0</v>
      </c>
      <c r="L724" s="40" t="n">
        <f aca="false">IF(O724="",0,IFERROR(INDEX(Purchases!I:I,MATCH(O724*1,Purchases!A:A,0)),0))</f>
        <v>0</v>
      </c>
      <c r="M724" s="40" t="n">
        <f aca="false">IF(G724="",0,K724-L724)</f>
        <v>0</v>
      </c>
      <c r="N724" s="48" t="str">
        <f aca="false">IFERROR(IF(G724="","",M724/G724),"")</f>
        <v/>
      </c>
      <c r="O724" s="39"/>
      <c r="P724" s="39"/>
      <c r="Q724" s="39"/>
      <c r="R724" s="39"/>
      <c r="S724" s="48" t="n">
        <f aca="false">IFERROR(VLOOKUP(H724,Settings!B14:C25,2,FALSE()),0)</f>
        <v>0</v>
      </c>
    </row>
    <row r="725" customFormat="false" ht="15" hidden="false" customHeight="false" outlineLevel="0" collapsed="false">
      <c r="A725" s="41" t="str">
        <f aca="false">IF(B725="","",ROW()-3)</f>
        <v/>
      </c>
      <c r="B725" s="42"/>
      <c r="G725" s="44"/>
      <c r="I725" s="44" t="n">
        <f aca="false">IF(G725="",0,G725*S725)</f>
        <v>0</v>
      </c>
      <c r="J725" s="44"/>
      <c r="K725" s="44" t="n">
        <f aca="false">IF(G725="",0,G725-I725-IF(J725="",0,J725))</f>
        <v>0</v>
      </c>
      <c r="L725" s="44" t="n">
        <f aca="false">IF(O725="",0,IFERROR(INDEX(Purchases!I:I,MATCH(O725*1,Purchases!A:A,0)),0))</f>
        <v>0</v>
      </c>
      <c r="M725" s="44" t="n">
        <f aca="false">IF(G725="",0,K725-L725)</f>
        <v>0</v>
      </c>
      <c r="N725" s="49" t="str">
        <f aca="false">IFERROR(IF(G725="","",M725/G725),"")</f>
        <v/>
      </c>
      <c r="S725" s="49" t="n">
        <f aca="false">IFERROR(VLOOKUP(H725,Settings!B14:C25,2,FALSE()),0)</f>
        <v>0</v>
      </c>
    </row>
    <row r="726" customFormat="false" ht="15" hidden="false" customHeight="false" outlineLevel="0" collapsed="false">
      <c r="A726" s="37" t="str">
        <f aca="false">IF(B726="","",ROW()-3)</f>
        <v/>
      </c>
      <c r="B726" s="38"/>
      <c r="C726" s="39"/>
      <c r="D726" s="39"/>
      <c r="E726" s="39"/>
      <c r="F726" s="39"/>
      <c r="G726" s="40"/>
      <c r="H726" s="39"/>
      <c r="I726" s="40" t="n">
        <f aca="false">IF(G726="",0,G726*S726)</f>
        <v>0</v>
      </c>
      <c r="J726" s="40"/>
      <c r="K726" s="40" t="n">
        <f aca="false">IF(G726="",0,G726-I726-IF(J726="",0,J726))</f>
        <v>0</v>
      </c>
      <c r="L726" s="40" t="n">
        <f aca="false">IF(O726="",0,IFERROR(INDEX(Purchases!I:I,MATCH(O726*1,Purchases!A:A,0)),0))</f>
        <v>0</v>
      </c>
      <c r="M726" s="40" t="n">
        <f aca="false">IF(G726="",0,K726-L726)</f>
        <v>0</v>
      </c>
      <c r="N726" s="48" t="str">
        <f aca="false">IFERROR(IF(G726="","",M726/G726),"")</f>
        <v/>
      </c>
      <c r="O726" s="39"/>
      <c r="P726" s="39"/>
      <c r="Q726" s="39"/>
      <c r="R726" s="39"/>
      <c r="S726" s="48" t="n">
        <f aca="false">IFERROR(VLOOKUP(H726,Settings!B14:C25,2,FALSE()),0)</f>
        <v>0</v>
      </c>
    </row>
    <row r="727" customFormat="false" ht="15" hidden="false" customHeight="false" outlineLevel="0" collapsed="false">
      <c r="A727" s="41" t="str">
        <f aca="false">IF(B727="","",ROW()-3)</f>
        <v/>
      </c>
      <c r="B727" s="42"/>
      <c r="G727" s="44"/>
      <c r="I727" s="44" t="n">
        <f aca="false">IF(G727="",0,G727*S727)</f>
        <v>0</v>
      </c>
      <c r="J727" s="44"/>
      <c r="K727" s="44" t="n">
        <f aca="false">IF(G727="",0,G727-I727-IF(J727="",0,J727))</f>
        <v>0</v>
      </c>
      <c r="L727" s="44" t="n">
        <f aca="false">IF(O727="",0,IFERROR(INDEX(Purchases!I:I,MATCH(O727*1,Purchases!A:A,0)),0))</f>
        <v>0</v>
      </c>
      <c r="M727" s="44" t="n">
        <f aca="false">IF(G727="",0,K727-L727)</f>
        <v>0</v>
      </c>
      <c r="N727" s="49" t="str">
        <f aca="false">IFERROR(IF(G727="","",M727/G727),"")</f>
        <v/>
      </c>
      <c r="S727" s="49" t="n">
        <f aca="false">IFERROR(VLOOKUP(H727,Settings!B14:C25,2,FALSE()),0)</f>
        <v>0</v>
      </c>
    </row>
    <row r="728" customFormat="false" ht="15" hidden="false" customHeight="false" outlineLevel="0" collapsed="false">
      <c r="A728" s="37" t="str">
        <f aca="false">IF(B728="","",ROW()-3)</f>
        <v/>
      </c>
      <c r="B728" s="38"/>
      <c r="C728" s="39"/>
      <c r="D728" s="39"/>
      <c r="E728" s="39"/>
      <c r="F728" s="39"/>
      <c r="G728" s="40"/>
      <c r="H728" s="39"/>
      <c r="I728" s="40" t="n">
        <f aca="false">IF(G728="",0,G728*S728)</f>
        <v>0</v>
      </c>
      <c r="J728" s="40"/>
      <c r="K728" s="40" t="n">
        <f aca="false">IF(G728="",0,G728-I728-IF(J728="",0,J728))</f>
        <v>0</v>
      </c>
      <c r="L728" s="40" t="n">
        <f aca="false">IF(O728="",0,IFERROR(INDEX(Purchases!I:I,MATCH(O728*1,Purchases!A:A,0)),0))</f>
        <v>0</v>
      </c>
      <c r="M728" s="40" t="n">
        <f aca="false">IF(G728="",0,K728-L728)</f>
        <v>0</v>
      </c>
      <c r="N728" s="48" t="str">
        <f aca="false">IFERROR(IF(G728="","",M728/G728),"")</f>
        <v/>
      </c>
      <c r="O728" s="39"/>
      <c r="P728" s="39"/>
      <c r="Q728" s="39"/>
      <c r="R728" s="39"/>
      <c r="S728" s="48" t="n">
        <f aca="false">IFERROR(VLOOKUP(H728,Settings!B14:C25,2,FALSE()),0)</f>
        <v>0</v>
      </c>
    </row>
    <row r="729" customFormat="false" ht="15" hidden="false" customHeight="false" outlineLevel="0" collapsed="false">
      <c r="A729" s="41" t="str">
        <f aca="false">IF(B729="","",ROW()-3)</f>
        <v/>
      </c>
      <c r="B729" s="42"/>
      <c r="G729" s="44"/>
      <c r="I729" s="44" t="n">
        <f aca="false">IF(G729="",0,G729*S729)</f>
        <v>0</v>
      </c>
      <c r="J729" s="44"/>
      <c r="K729" s="44" t="n">
        <f aca="false">IF(G729="",0,G729-I729-IF(J729="",0,J729))</f>
        <v>0</v>
      </c>
      <c r="L729" s="44" t="n">
        <f aca="false">IF(O729="",0,IFERROR(INDEX(Purchases!I:I,MATCH(O729*1,Purchases!A:A,0)),0))</f>
        <v>0</v>
      </c>
      <c r="M729" s="44" t="n">
        <f aca="false">IF(G729="",0,K729-L729)</f>
        <v>0</v>
      </c>
      <c r="N729" s="49" t="str">
        <f aca="false">IFERROR(IF(G729="","",M729/G729),"")</f>
        <v/>
      </c>
      <c r="S729" s="49" t="n">
        <f aca="false">IFERROR(VLOOKUP(H729,Settings!B14:C25,2,FALSE()),0)</f>
        <v>0</v>
      </c>
    </row>
    <row r="730" customFormat="false" ht="15" hidden="false" customHeight="false" outlineLevel="0" collapsed="false">
      <c r="A730" s="37" t="str">
        <f aca="false">IF(B730="","",ROW()-3)</f>
        <v/>
      </c>
      <c r="B730" s="38"/>
      <c r="C730" s="39"/>
      <c r="D730" s="39"/>
      <c r="E730" s="39"/>
      <c r="F730" s="39"/>
      <c r="G730" s="40"/>
      <c r="H730" s="39"/>
      <c r="I730" s="40" t="n">
        <f aca="false">IF(G730="",0,G730*S730)</f>
        <v>0</v>
      </c>
      <c r="J730" s="40"/>
      <c r="K730" s="40" t="n">
        <f aca="false">IF(G730="",0,G730-I730-IF(J730="",0,J730))</f>
        <v>0</v>
      </c>
      <c r="L730" s="40" t="n">
        <f aca="false">IF(O730="",0,IFERROR(INDEX(Purchases!I:I,MATCH(O730*1,Purchases!A:A,0)),0))</f>
        <v>0</v>
      </c>
      <c r="M730" s="40" t="n">
        <f aca="false">IF(G730="",0,K730-L730)</f>
        <v>0</v>
      </c>
      <c r="N730" s="48" t="str">
        <f aca="false">IFERROR(IF(G730="","",M730/G730),"")</f>
        <v/>
      </c>
      <c r="O730" s="39"/>
      <c r="P730" s="39"/>
      <c r="Q730" s="39"/>
      <c r="R730" s="39"/>
      <c r="S730" s="48" t="n">
        <f aca="false">IFERROR(VLOOKUP(H730,Settings!B14:C25,2,FALSE()),0)</f>
        <v>0</v>
      </c>
    </row>
    <row r="731" customFormat="false" ht="15" hidden="false" customHeight="false" outlineLevel="0" collapsed="false">
      <c r="A731" s="41" t="str">
        <f aca="false">IF(B731="","",ROW()-3)</f>
        <v/>
      </c>
      <c r="B731" s="42"/>
      <c r="G731" s="44"/>
      <c r="I731" s="44" t="n">
        <f aca="false">IF(G731="",0,G731*S731)</f>
        <v>0</v>
      </c>
      <c r="J731" s="44"/>
      <c r="K731" s="44" t="n">
        <f aca="false">IF(G731="",0,G731-I731-IF(J731="",0,J731))</f>
        <v>0</v>
      </c>
      <c r="L731" s="44" t="n">
        <f aca="false">IF(O731="",0,IFERROR(INDEX(Purchases!I:I,MATCH(O731*1,Purchases!A:A,0)),0))</f>
        <v>0</v>
      </c>
      <c r="M731" s="44" t="n">
        <f aca="false">IF(G731="",0,K731-L731)</f>
        <v>0</v>
      </c>
      <c r="N731" s="49" t="str">
        <f aca="false">IFERROR(IF(G731="","",M731/G731),"")</f>
        <v/>
      </c>
      <c r="S731" s="49" t="n">
        <f aca="false">IFERROR(VLOOKUP(H731,Settings!B14:C25,2,FALSE()),0)</f>
        <v>0</v>
      </c>
    </row>
    <row r="732" customFormat="false" ht="15" hidden="false" customHeight="false" outlineLevel="0" collapsed="false">
      <c r="A732" s="37" t="str">
        <f aca="false">IF(B732="","",ROW()-3)</f>
        <v/>
      </c>
      <c r="B732" s="38"/>
      <c r="C732" s="39"/>
      <c r="D732" s="39"/>
      <c r="E732" s="39"/>
      <c r="F732" s="39"/>
      <c r="G732" s="40"/>
      <c r="H732" s="39"/>
      <c r="I732" s="40" t="n">
        <f aca="false">IF(G732="",0,G732*S732)</f>
        <v>0</v>
      </c>
      <c r="J732" s="40"/>
      <c r="K732" s="40" t="n">
        <f aca="false">IF(G732="",0,G732-I732-IF(J732="",0,J732))</f>
        <v>0</v>
      </c>
      <c r="L732" s="40" t="n">
        <f aca="false">IF(O732="",0,IFERROR(INDEX(Purchases!I:I,MATCH(O732*1,Purchases!A:A,0)),0))</f>
        <v>0</v>
      </c>
      <c r="M732" s="40" t="n">
        <f aca="false">IF(G732="",0,K732-L732)</f>
        <v>0</v>
      </c>
      <c r="N732" s="48" t="str">
        <f aca="false">IFERROR(IF(G732="","",M732/G732),"")</f>
        <v/>
      </c>
      <c r="O732" s="39"/>
      <c r="P732" s="39"/>
      <c r="Q732" s="39"/>
      <c r="R732" s="39"/>
      <c r="S732" s="48" t="n">
        <f aca="false">IFERROR(VLOOKUP(H732,Settings!B14:C25,2,FALSE()),0)</f>
        <v>0</v>
      </c>
    </row>
    <row r="733" customFormat="false" ht="15" hidden="false" customHeight="false" outlineLevel="0" collapsed="false">
      <c r="A733" s="41" t="str">
        <f aca="false">IF(B733="","",ROW()-3)</f>
        <v/>
      </c>
      <c r="B733" s="42"/>
      <c r="G733" s="44"/>
      <c r="I733" s="44" t="n">
        <f aca="false">IF(G733="",0,G733*S733)</f>
        <v>0</v>
      </c>
      <c r="J733" s="44"/>
      <c r="K733" s="44" t="n">
        <f aca="false">IF(G733="",0,G733-I733-IF(J733="",0,J733))</f>
        <v>0</v>
      </c>
      <c r="L733" s="44" t="n">
        <f aca="false">IF(O733="",0,IFERROR(INDEX(Purchases!I:I,MATCH(O733*1,Purchases!A:A,0)),0))</f>
        <v>0</v>
      </c>
      <c r="M733" s="44" t="n">
        <f aca="false">IF(G733="",0,K733-L733)</f>
        <v>0</v>
      </c>
      <c r="N733" s="49" t="str">
        <f aca="false">IFERROR(IF(G733="","",M733/G733),"")</f>
        <v/>
      </c>
      <c r="S733" s="49" t="n">
        <f aca="false">IFERROR(VLOOKUP(H733,Settings!B14:C25,2,FALSE()),0)</f>
        <v>0</v>
      </c>
    </row>
    <row r="734" customFormat="false" ht="15" hidden="false" customHeight="false" outlineLevel="0" collapsed="false">
      <c r="A734" s="37" t="str">
        <f aca="false">IF(B734="","",ROW()-3)</f>
        <v/>
      </c>
      <c r="B734" s="38"/>
      <c r="C734" s="39"/>
      <c r="D734" s="39"/>
      <c r="E734" s="39"/>
      <c r="F734" s="39"/>
      <c r="G734" s="40"/>
      <c r="H734" s="39"/>
      <c r="I734" s="40" t="n">
        <f aca="false">IF(G734="",0,G734*S734)</f>
        <v>0</v>
      </c>
      <c r="J734" s="40"/>
      <c r="K734" s="40" t="n">
        <f aca="false">IF(G734="",0,G734-I734-IF(J734="",0,J734))</f>
        <v>0</v>
      </c>
      <c r="L734" s="40" t="n">
        <f aca="false">IF(O734="",0,IFERROR(INDEX(Purchases!I:I,MATCH(O734*1,Purchases!A:A,0)),0))</f>
        <v>0</v>
      </c>
      <c r="M734" s="40" t="n">
        <f aca="false">IF(G734="",0,K734-L734)</f>
        <v>0</v>
      </c>
      <c r="N734" s="48" t="str">
        <f aca="false">IFERROR(IF(G734="","",M734/G734),"")</f>
        <v/>
      </c>
      <c r="O734" s="39"/>
      <c r="P734" s="39"/>
      <c r="Q734" s="39"/>
      <c r="R734" s="39"/>
      <c r="S734" s="48" t="n">
        <f aca="false">IFERROR(VLOOKUP(H734,Settings!B14:C25,2,FALSE()),0)</f>
        <v>0</v>
      </c>
    </row>
    <row r="735" customFormat="false" ht="15" hidden="false" customHeight="false" outlineLevel="0" collapsed="false">
      <c r="A735" s="41" t="str">
        <f aca="false">IF(B735="","",ROW()-3)</f>
        <v/>
      </c>
      <c r="B735" s="42"/>
      <c r="G735" s="44"/>
      <c r="I735" s="44" t="n">
        <f aca="false">IF(G735="",0,G735*S735)</f>
        <v>0</v>
      </c>
      <c r="J735" s="44"/>
      <c r="K735" s="44" t="n">
        <f aca="false">IF(G735="",0,G735-I735-IF(J735="",0,J735))</f>
        <v>0</v>
      </c>
      <c r="L735" s="44" t="n">
        <f aca="false">IF(O735="",0,IFERROR(INDEX(Purchases!I:I,MATCH(O735*1,Purchases!A:A,0)),0))</f>
        <v>0</v>
      </c>
      <c r="M735" s="44" t="n">
        <f aca="false">IF(G735="",0,K735-L735)</f>
        <v>0</v>
      </c>
      <c r="N735" s="49" t="str">
        <f aca="false">IFERROR(IF(G735="","",M735/G735),"")</f>
        <v/>
      </c>
      <c r="S735" s="49" t="n">
        <f aca="false">IFERROR(VLOOKUP(H735,Settings!B14:C25,2,FALSE()),0)</f>
        <v>0</v>
      </c>
    </row>
    <row r="736" customFormat="false" ht="15" hidden="false" customHeight="false" outlineLevel="0" collapsed="false">
      <c r="A736" s="37" t="str">
        <f aca="false">IF(B736="","",ROW()-3)</f>
        <v/>
      </c>
      <c r="B736" s="38"/>
      <c r="C736" s="39"/>
      <c r="D736" s="39"/>
      <c r="E736" s="39"/>
      <c r="F736" s="39"/>
      <c r="G736" s="40"/>
      <c r="H736" s="39"/>
      <c r="I736" s="40" t="n">
        <f aca="false">IF(G736="",0,G736*S736)</f>
        <v>0</v>
      </c>
      <c r="J736" s="40"/>
      <c r="K736" s="40" t="n">
        <f aca="false">IF(G736="",0,G736-I736-IF(J736="",0,J736))</f>
        <v>0</v>
      </c>
      <c r="L736" s="40" t="n">
        <f aca="false">IF(O736="",0,IFERROR(INDEX(Purchases!I:I,MATCH(O736*1,Purchases!A:A,0)),0))</f>
        <v>0</v>
      </c>
      <c r="M736" s="40" t="n">
        <f aca="false">IF(G736="",0,K736-L736)</f>
        <v>0</v>
      </c>
      <c r="N736" s="48" t="str">
        <f aca="false">IFERROR(IF(G736="","",M736/G736),"")</f>
        <v/>
      </c>
      <c r="O736" s="39"/>
      <c r="P736" s="39"/>
      <c r="Q736" s="39"/>
      <c r="R736" s="39"/>
      <c r="S736" s="48" t="n">
        <f aca="false">IFERROR(VLOOKUP(H736,Settings!B14:C25,2,FALSE()),0)</f>
        <v>0</v>
      </c>
    </row>
    <row r="737" customFormat="false" ht="15" hidden="false" customHeight="false" outlineLevel="0" collapsed="false">
      <c r="A737" s="41" t="str">
        <f aca="false">IF(B737="","",ROW()-3)</f>
        <v/>
      </c>
      <c r="B737" s="42"/>
      <c r="G737" s="44"/>
      <c r="I737" s="44" t="n">
        <f aca="false">IF(G737="",0,G737*S737)</f>
        <v>0</v>
      </c>
      <c r="J737" s="44"/>
      <c r="K737" s="44" t="n">
        <f aca="false">IF(G737="",0,G737-I737-IF(J737="",0,J737))</f>
        <v>0</v>
      </c>
      <c r="L737" s="44" t="n">
        <f aca="false">IF(O737="",0,IFERROR(INDEX(Purchases!I:I,MATCH(O737*1,Purchases!A:A,0)),0))</f>
        <v>0</v>
      </c>
      <c r="M737" s="44" t="n">
        <f aca="false">IF(G737="",0,K737-L737)</f>
        <v>0</v>
      </c>
      <c r="N737" s="49" t="str">
        <f aca="false">IFERROR(IF(G737="","",M737/G737),"")</f>
        <v/>
      </c>
      <c r="S737" s="49" t="n">
        <f aca="false">IFERROR(VLOOKUP(H737,Settings!B14:C25,2,FALSE()),0)</f>
        <v>0</v>
      </c>
    </row>
    <row r="738" customFormat="false" ht="15" hidden="false" customHeight="false" outlineLevel="0" collapsed="false">
      <c r="A738" s="37" t="str">
        <f aca="false">IF(B738="","",ROW()-3)</f>
        <v/>
      </c>
      <c r="B738" s="38"/>
      <c r="C738" s="39"/>
      <c r="D738" s="39"/>
      <c r="E738" s="39"/>
      <c r="F738" s="39"/>
      <c r="G738" s="40"/>
      <c r="H738" s="39"/>
      <c r="I738" s="40" t="n">
        <f aca="false">IF(G738="",0,G738*S738)</f>
        <v>0</v>
      </c>
      <c r="J738" s="40"/>
      <c r="K738" s="40" t="n">
        <f aca="false">IF(G738="",0,G738-I738-IF(J738="",0,J738))</f>
        <v>0</v>
      </c>
      <c r="L738" s="40" t="n">
        <f aca="false">IF(O738="",0,IFERROR(INDEX(Purchases!I:I,MATCH(O738*1,Purchases!A:A,0)),0))</f>
        <v>0</v>
      </c>
      <c r="M738" s="40" t="n">
        <f aca="false">IF(G738="",0,K738-L738)</f>
        <v>0</v>
      </c>
      <c r="N738" s="48" t="str">
        <f aca="false">IFERROR(IF(G738="","",M738/G738),"")</f>
        <v/>
      </c>
      <c r="O738" s="39"/>
      <c r="P738" s="39"/>
      <c r="Q738" s="39"/>
      <c r="R738" s="39"/>
      <c r="S738" s="48" t="n">
        <f aca="false">IFERROR(VLOOKUP(H738,Settings!B14:C25,2,FALSE()),0)</f>
        <v>0</v>
      </c>
    </row>
    <row r="739" customFormat="false" ht="15" hidden="false" customHeight="false" outlineLevel="0" collapsed="false">
      <c r="A739" s="41" t="str">
        <f aca="false">IF(B739="","",ROW()-3)</f>
        <v/>
      </c>
      <c r="B739" s="42"/>
      <c r="G739" s="44"/>
      <c r="I739" s="44" t="n">
        <f aca="false">IF(G739="",0,G739*S739)</f>
        <v>0</v>
      </c>
      <c r="J739" s="44"/>
      <c r="K739" s="44" t="n">
        <f aca="false">IF(G739="",0,G739-I739-IF(J739="",0,J739))</f>
        <v>0</v>
      </c>
      <c r="L739" s="44" t="n">
        <f aca="false">IF(O739="",0,IFERROR(INDEX(Purchases!I:I,MATCH(O739*1,Purchases!A:A,0)),0))</f>
        <v>0</v>
      </c>
      <c r="M739" s="44" t="n">
        <f aca="false">IF(G739="",0,K739-L739)</f>
        <v>0</v>
      </c>
      <c r="N739" s="49" t="str">
        <f aca="false">IFERROR(IF(G739="","",M739/G739),"")</f>
        <v/>
      </c>
      <c r="S739" s="49" t="n">
        <f aca="false">IFERROR(VLOOKUP(H739,Settings!B14:C25,2,FALSE()),0)</f>
        <v>0</v>
      </c>
    </row>
    <row r="740" customFormat="false" ht="15" hidden="false" customHeight="false" outlineLevel="0" collapsed="false">
      <c r="A740" s="37" t="str">
        <f aca="false">IF(B740="","",ROW()-3)</f>
        <v/>
      </c>
      <c r="B740" s="38"/>
      <c r="C740" s="39"/>
      <c r="D740" s="39"/>
      <c r="E740" s="39"/>
      <c r="F740" s="39"/>
      <c r="G740" s="40"/>
      <c r="H740" s="39"/>
      <c r="I740" s="40" t="n">
        <f aca="false">IF(G740="",0,G740*S740)</f>
        <v>0</v>
      </c>
      <c r="J740" s="40"/>
      <c r="K740" s="40" t="n">
        <f aca="false">IF(G740="",0,G740-I740-IF(J740="",0,J740))</f>
        <v>0</v>
      </c>
      <c r="L740" s="40" t="n">
        <f aca="false">IF(O740="",0,IFERROR(INDEX(Purchases!I:I,MATCH(O740*1,Purchases!A:A,0)),0))</f>
        <v>0</v>
      </c>
      <c r="M740" s="40" t="n">
        <f aca="false">IF(G740="",0,K740-L740)</f>
        <v>0</v>
      </c>
      <c r="N740" s="48" t="str">
        <f aca="false">IFERROR(IF(G740="","",M740/G740),"")</f>
        <v/>
      </c>
      <c r="O740" s="39"/>
      <c r="P740" s="39"/>
      <c r="Q740" s="39"/>
      <c r="R740" s="39"/>
      <c r="S740" s="48" t="n">
        <f aca="false">IFERROR(VLOOKUP(H740,Settings!B14:C25,2,FALSE()),0)</f>
        <v>0</v>
      </c>
    </row>
    <row r="741" customFormat="false" ht="15" hidden="false" customHeight="false" outlineLevel="0" collapsed="false">
      <c r="A741" s="41" t="str">
        <f aca="false">IF(B741="","",ROW()-3)</f>
        <v/>
      </c>
      <c r="B741" s="42"/>
      <c r="G741" s="44"/>
      <c r="I741" s="44" t="n">
        <f aca="false">IF(G741="",0,G741*S741)</f>
        <v>0</v>
      </c>
      <c r="J741" s="44"/>
      <c r="K741" s="44" t="n">
        <f aca="false">IF(G741="",0,G741-I741-IF(J741="",0,J741))</f>
        <v>0</v>
      </c>
      <c r="L741" s="44" t="n">
        <f aca="false">IF(O741="",0,IFERROR(INDEX(Purchases!I:I,MATCH(O741*1,Purchases!A:A,0)),0))</f>
        <v>0</v>
      </c>
      <c r="M741" s="44" t="n">
        <f aca="false">IF(G741="",0,K741-L741)</f>
        <v>0</v>
      </c>
      <c r="N741" s="49" t="str">
        <f aca="false">IFERROR(IF(G741="","",M741/G741),"")</f>
        <v/>
      </c>
      <c r="S741" s="49" t="n">
        <f aca="false">IFERROR(VLOOKUP(H741,Settings!B14:C25,2,FALSE()),0)</f>
        <v>0</v>
      </c>
    </row>
    <row r="742" customFormat="false" ht="15" hidden="false" customHeight="false" outlineLevel="0" collapsed="false">
      <c r="A742" s="37" t="str">
        <f aca="false">IF(B742="","",ROW()-3)</f>
        <v/>
      </c>
      <c r="B742" s="38"/>
      <c r="C742" s="39"/>
      <c r="D742" s="39"/>
      <c r="E742" s="39"/>
      <c r="F742" s="39"/>
      <c r="G742" s="40"/>
      <c r="H742" s="39"/>
      <c r="I742" s="40" t="n">
        <f aca="false">IF(G742="",0,G742*S742)</f>
        <v>0</v>
      </c>
      <c r="J742" s="40"/>
      <c r="K742" s="40" t="n">
        <f aca="false">IF(G742="",0,G742-I742-IF(J742="",0,J742))</f>
        <v>0</v>
      </c>
      <c r="L742" s="40" t="n">
        <f aca="false">IF(O742="",0,IFERROR(INDEX(Purchases!I:I,MATCH(O742*1,Purchases!A:A,0)),0))</f>
        <v>0</v>
      </c>
      <c r="M742" s="40" t="n">
        <f aca="false">IF(G742="",0,K742-L742)</f>
        <v>0</v>
      </c>
      <c r="N742" s="48" t="str">
        <f aca="false">IFERROR(IF(G742="","",M742/G742),"")</f>
        <v/>
      </c>
      <c r="O742" s="39"/>
      <c r="P742" s="39"/>
      <c r="Q742" s="39"/>
      <c r="R742" s="39"/>
      <c r="S742" s="48" t="n">
        <f aca="false">IFERROR(VLOOKUP(H742,Settings!B14:C25,2,FALSE()),0)</f>
        <v>0</v>
      </c>
    </row>
    <row r="743" customFormat="false" ht="15" hidden="false" customHeight="false" outlineLevel="0" collapsed="false">
      <c r="A743" s="41" t="str">
        <f aca="false">IF(B743="","",ROW()-3)</f>
        <v/>
      </c>
      <c r="B743" s="42"/>
      <c r="G743" s="44"/>
      <c r="I743" s="44" t="n">
        <f aca="false">IF(G743="",0,G743*S743)</f>
        <v>0</v>
      </c>
      <c r="J743" s="44"/>
      <c r="K743" s="44" t="n">
        <f aca="false">IF(G743="",0,G743-I743-IF(J743="",0,J743))</f>
        <v>0</v>
      </c>
      <c r="L743" s="44" t="n">
        <f aca="false">IF(O743="",0,IFERROR(INDEX(Purchases!I:I,MATCH(O743*1,Purchases!A:A,0)),0))</f>
        <v>0</v>
      </c>
      <c r="M743" s="44" t="n">
        <f aca="false">IF(G743="",0,K743-L743)</f>
        <v>0</v>
      </c>
      <c r="N743" s="49" t="str">
        <f aca="false">IFERROR(IF(G743="","",M743/G743),"")</f>
        <v/>
      </c>
      <c r="S743" s="49" t="n">
        <f aca="false">IFERROR(VLOOKUP(H743,Settings!B14:C25,2,FALSE()),0)</f>
        <v>0</v>
      </c>
    </row>
    <row r="744" customFormat="false" ht="15" hidden="false" customHeight="false" outlineLevel="0" collapsed="false">
      <c r="A744" s="37" t="str">
        <f aca="false">IF(B744="","",ROW()-3)</f>
        <v/>
      </c>
      <c r="B744" s="38"/>
      <c r="C744" s="39"/>
      <c r="D744" s="39"/>
      <c r="E744" s="39"/>
      <c r="F744" s="39"/>
      <c r="G744" s="40"/>
      <c r="H744" s="39"/>
      <c r="I744" s="40" t="n">
        <f aca="false">IF(G744="",0,G744*S744)</f>
        <v>0</v>
      </c>
      <c r="J744" s="40"/>
      <c r="K744" s="40" t="n">
        <f aca="false">IF(G744="",0,G744-I744-IF(J744="",0,J744))</f>
        <v>0</v>
      </c>
      <c r="L744" s="40" t="n">
        <f aca="false">IF(O744="",0,IFERROR(INDEX(Purchases!I:I,MATCH(O744*1,Purchases!A:A,0)),0))</f>
        <v>0</v>
      </c>
      <c r="M744" s="40" t="n">
        <f aca="false">IF(G744="",0,K744-L744)</f>
        <v>0</v>
      </c>
      <c r="N744" s="48" t="str">
        <f aca="false">IFERROR(IF(G744="","",M744/G744),"")</f>
        <v/>
      </c>
      <c r="O744" s="39"/>
      <c r="P744" s="39"/>
      <c r="Q744" s="39"/>
      <c r="R744" s="39"/>
      <c r="S744" s="48" t="n">
        <f aca="false">IFERROR(VLOOKUP(H744,Settings!B14:C25,2,FALSE()),0)</f>
        <v>0</v>
      </c>
    </row>
    <row r="745" customFormat="false" ht="15" hidden="false" customHeight="false" outlineLevel="0" collapsed="false">
      <c r="A745" s="41" t="str">
        <f aca="false">IF(B745="","",ROW()-3)</f>
        <v/>
      </c>
      <c r="B745" s="42"/>
      <c r="G745" s="44"/>
      <c r="I745" s="44" t="n">
        <f aca="false">IF(G745="",0,G745*S745)</f>
        <v>0</v>
      </c>
      <c r="J745" s="44"/>
      <c r="K745" s="44" t="n">
        <f aca="false">IF(G745="",0,G745-I745-IF(J745="",0,J745))</f>
        <v>0</v>
      </c>
      <c r="L745" s="44" t="n">
        <f aca="false">IF(O745="",0,IFERROR(INDEX(Purchases!I:I,MATCH(O745*1,Purchases!A:A,0)),0))</f>
        <v>0</v>
      </c>
      <c r="M745" s="44" t="n">
        <f aca="false">IF(G745="",0,K745-L745)</f>
        <v>0</v>
      </c>
      <c r="N745" s="49" t="str">
        <f aca="false">IFERROR(IF(G745="","",M745/G745),"")</f>
        <v/>
      </c>
      <c r="S745" s="49" t="n">
        <f aca="false">IFERROR(VLOOKUP(H745,Settings!B14:C25,2,FALSE()),0)</f>
        <v>0</v>
      </c>
    </row>
    <row r="746" customFormat="false" ht="15" hidden="false" customHeight="false" outlineLevel="0" collapsed="false">
      <c r="A746" s="37" t="str">
        <f aca="false">IF(B746="","",ROW()-3)</f>
        <v/>
      </c>
      <c r="B746" s="38"/>
      <c r="C746" s="39"/>
      <c r="D746" s="39"/>
      <c r="E746" s="39"/>
      <c r="F746" s="39"/>
      <c r="G746" s="40"/>
      <c r="H746" s="39"/>
      <c r="I746" s="40" t="n">
        <f aca="false">IF(G746="",0,G746*S746)</f>
        <v>0</v>
      </c>
      <c r="J746" s="40"/>
      <c r="K746" s="40" t="n">
        <f aca="false">IF(G746="",0,G746-I746-IF(J746="",0,J746))</f>
        <v>0</v>
      </c>
      <c r="L746" s="40" t="n">
        <f aca="false">IF(O746="",0,IFERROR(INDEX(Purchases!I:I,MATCH(O746*1,Purchases!A:A,0)),0))</f>
        <v>0</v>
      </c>
      <c r="M746" s="40" t="n">
        <f aca="false">IF(G746="",0,K746-L746)</f>
        <v>0</v>
      </c>
      <c r="N746" s="48" t="str">
        <f aca="false">IFERROR(IF(G746="","",M746/G746),"")</f>
        <v/>
      </c>
      <c r="O746" s="39"/>
      <c r="P746" s="39"/>
      <c r="Q746" s="39"/>
      <c r="R746" s="39"/>
      <c r="S746" s="48" t="n">
        <f aca="false">IFERROR(VLOOKUP(H746,Settings!B14:C25,2,FALSE()),0)</f>
        <v>0</v>
      </c>
    </row>
    <row r="747" customFormat="false" ht="15" hidden="false" customHeight="false" outlineLevel="0" collapsed="false">
      <c r="A747" s="41" t="str">
        <f aca="false">IF(B747="","",ROW()-3)</f>
        <v/>
      </c>
      <c r="B747" s="42"/>
      <c r="G747" s="44"/>
      <c r="I747" s="44" t="n">
        <f aca="false">IF(G747="",0,G747*S747)</f>
        <v>0</v>
      </c>
      <c r="J747" s="44"/>
      <c r="K747" s="44" t="n">
        <f aca="false">IF(G747="",0,G747-I747-IF(J747="",0,J747))</f>
        <v>0</v>
      </c>
      <c r="L747" s="44" t="n">
        <f aca="false">IF(O747="",0,IFERROR(INDEX(Purchases!I:I,MATCH(O747*1,Purchases!A:A,0)),0))</f>
        <v>0</v>
      </c>
      <c r="M747" s="44" t="n">
        <f aca="false">IF(G747="",0,K747-L747)</f>
        <v>0</v>
      </c>
      <c r="N747" s="49" t="str">
        <f aca="false">IFERROR(IF(G747="","",M747/G747),"")</f>
        <v/>
      </c>
      <c r="S747" s="49" t="n">
        <f aca="false">IFERROR(VLOOKUP(H747,Settings!B14:C25,2,FALSE()),0)</f>
        <v>0</v>
      </c>
    </row>
    <row r="748" customFormat="false" ht="15" hidden="false" customHeight="false" outlineLevel="0" collapsed="false">
      <c r="A748" s="37" t="str">
        <f aca="false">IF(B748="","",ROW()-3)</f>
        <v/>
      </c>
      <c r="B748" s="38"/>
      <c r="C748" s="39"/>
      <c r="D748" s="39"/>
      <c r="E748" s="39"/>
      <c r="F748" s="39"/>
      <c r="G748" s="40"/>
      <c r="H748" s="39"/>
      <c r="I748" s="40" t="n">
        <f aca="false">IF(G748="",0,G748*S748)</f>
        <v>0</v>
      </c>
      <c r="J748" s="40"/>
      <c r="K748" s="40" t="n">
        <f aca="false">IF(G748="",0,G748-I748-IF(J748="",0,J748))</f>
        <v>0</v>
      </c>
      <c r="L748" s="40" t="n">
        <f aca="false">IF(O748="",0,IFERROR(INDEX(Purchases!I:I,MATCH(O748*1,Purchases!A:A,0)),0))</f>
        <v>0</v>
      </c>
      <c r="M748" s="40" t="n">
        <f aca="false">IF(G748="",0,K748-L748)</f>
        <v>0</v>
      </c>
      <c r="N748" s="48" t="str">
        <f aca="false">IFERROR(IF(G748="","",M748/G748),"")</f>
        <v/>
      </c>
      <c r="O748" s="39"/>
      <c r="P748" s="39"/>
      <c r="Q748" s="39"/>
      <c r="R748" s="39"/>
      <c r="S748" s="48" t="n">
        <f aca="false">IFERROR(VLOOKUP(H748,Settings!B14:C25,2,FALSE()),0)</f>
        <v>0</v>
      </c>
    </row>
    <row r="749" customFormat="false" ht="15" hidden="false" customHeight="false" outlineLevel="0" collapsed="false">
      <c r="A749" s="41" t="str">
        <f aca="false">IF(B749="","",ROW()-3)</f>
        <v/>
      </c>
      <c r="B749" s="42"/>
      <c r="G749" s="44"/>
      <c r="I749" s="44" t="n">
        <f aca="false">IF(G749="",0,G749*S749)</f>
        <v>0</v>
      </c>
      <c r="J749" s="44"/>
      <c r="K749" s="44" t="n">
        <f aca="false">IF(G749="",0,G749-I749-IF(J749="",0,J749))</f>
        <v>0</v>
      </c>
      <c r="L749" s="44" t="n">
        <f aca="false">IF(O749="",0,IFERROR(INDEX(Purchases!I:I,MATCH(O749*1,Purchases!A:A,0)),0))</f>
        <v>0</v>
      </c>
      <c r="M749" s="44" t="n">
        <f aca="false">IF(G749="",0,K749-L749)</f>
        <v>0</v>
      </c>
      <c r="N749" s="49" t="str">
        <f aca="false">IFERROR(IF(G749="","",M749/G749),"")</f>
        <v/>
      </c>
      <c r="S749" s="49" t="n">
        <f aca="false">IFERROR(VLOOKUP(H749,Settings!B14:C25,2,FALSE()),0)</f>
        <v>0</v>
      </c>
    </row>
    <row r="750" customFormat="false" ht="15" hidden="false" customHeight="false" outlineLevel="0" collapsed="false">
      <c r="A750" s="37" t="str">
        <f aca="false">IF(B750="","",ROW()-3)</f>
        <v/>
      </c>
      <c r="B750" s="38"/>
      <c r="C750" s="39"/>
      <c r="D750" s="39"/>
      <c r="E750" s="39"/>
      <c r="F750" s="39"/>
      <c r="G750" s="40"/>
      <c r="H750" s="39"/>
      <c r="I750" s="40" t="n">
        <f aca="false">IF(G750="",0,G750*S750)</f>
        <v>0</v>
      </c>
      <c r="J750" s="40"/>
      <c r="K750" s="40" t="n">
        <f aca="false">IF(G750="",0,G750-I750-IF(J750="",0,J750))</f>
        <v>0</v>
      </c>
      <c r="L750" s="40" t="n">
        <f aca="false">IF(O750="",0,IFERROR(INDEX(Purchases!I:I,MATCH(O750*1,Purchases!A:A,0)),0))</f>
        <v>0</v>
      </c>
      <c r="M750" s="40" t="n">
        <f aca="false">IF(G750="",0,K750-L750)</f>
        <v>0</v>
      </c>
      <c r="N750" s="48" t="str">
        <f aca="false">IFERROR(IF(G750="","",M750/G750),"")</f>
        <v/>
      </c>
      <c r="O750" s="39"/>
      <c r="P750" s="39"/>
      <c r="Q750" s="39"/>
      <c r="R750" s="39"/>
      <c r="S750" s="48" t="n">
        <f aca="false">IFERROR(VLOOKUP(H750,Settings!B14:C25,2,FALSE()),0)</f>
        <v>0</v>
      </c>
    </row>
    <row r="751" customFormat="false" ht="15" hidden="false" customHeight="false" outlineLevel="0" collapsed="false">
      <c r="A751" s="41" t="str">
        <f aca="false">IF(B751="","",ROW()-3)</f>
        <v/>
      </c>
      <c r="B751" s="42"/>
      <c r="G751" s="44"/>
      <c r="I751" s="44" t="n">
        <f aca="false">IF(G751="",0,G751*S751)</f>
        <v>0</v>
      </c>
      <c r="J751" s="44"/>
      <c r="K751" s="44" t="n">
        <f aca="false">IF(G751="",0,G751-I751-IF(J751="",0,J751))</f>
        <v>0</v>
      </c>
      <c r="L751" s="44" t="n">
        <f aca="false">IF(O751="",0,IFERROR(INDEX(Purchases!I:I,MATCH(O751*1,Purchases!A:A,0)),0))</f>
        <v>0</v>
      </c>
      <c r="M751" s="44" t="n">
        <f aca="false">IF(G751="",0,K751-L751)</f>
        <v>0</v>
      </c>
      <c r="N751" s="49" t="str">
        <f aca="false">IFERROR(IF(G751="","",M751/G751),"")</f>
        <v/>
      </c>
      <c r="S751" s="49" t="n">
        <f aca="false">IFERROR(VLOOKUP(H751,Settings!B14:C25,2,FALSE()),0)</f>
        <v>0</v>
      </c>
    </row>
    <row r="752" customFormat="false" ht="15" hidden="false" customHeight="false" outlineLevel="0" collapsed="false">
      <c r="A752" s="37" t="str">
        <f aca="false">IF(B752="","",ROW()-3)</f>
        <v/>
      </c>
      <c r="B752" s="38"/>
      <c r="C752" s="39"/>
      <c r="D752" s="39"/>
      <c r="E752" s="39"/>
      <c r="F752" s="39"/>
      <c r="G752" s="40"/>
      <c r="H752" s="39"/>
      <c r="I752" s="40" t="n">
        <f aca="false">IF(G752="",0,G752*S752)</f>
        <v>0</v>
      </c>
      <c r="J752" s="40"/>
      <c r="K752" s="40" t="n">
        <f aca="false">IF(G752="",0,G752-I752-IF(J752="",0,J752))</f>
        <v>0</v>
      </c>
      <c r="L752" s="40" t="n">
        <f aca="false">IF(O752="",0,IFERROR(INDEX(Purchases!I:I,MATCH(O752*1,Purchases!A:A,0)),0))</f>
        <v>0</v>
      </c>
      <c r="M752" s="40" t="n">
        <f aca="false">IF(G752="",0,K752-L752)</f>
        <v>0</v>
      </c>
      <c r="N752" s="48" t="str">
        <f aca="false">IFERROR(IF(G752="","",M752/G752),"")</f>
        <v/>
      </c>
      <c r="O752" s="39"/>
      <c r="P752" s="39"/>
      <c r="Q752" s="39"/>
      <c r="R752" s="39"/>
      <c r="S752" s="48" t="n">
        <f aca="false">IFERROR(VLOOKUP(H752,Settings!B14:C25,2,FALSE()),0)</f>
        <v>0</v>
      </c>
    </row>
    <row r="753" customFormat="false" ht="15" hidden="false" customHeight="false" outlineLevel="0" collapsed="false">
      <c r="A753" s="41" t="str">
        <f aca="false">IF(B753="","",ROW()-3)</f>
        <v/>
      </c>
      <c r="B753" s="42"/>
      <c r="G753" s="44"/>
      <c r="I753" s="44" t="n">
        <f aca="false">IF(G753="",0,G753*S753)</f>
        <v>0</v>
      </c>
      <c r="J753" s="44"/>
      <c r="K753" s="44" t="n">
        <f aca="false">IF(G753="",0,G753-I753-IF(J753="",0,J753))</f>
        <v>0</v>
      </c>
      <c r="L753" s="44" t="n">
        <f aca="false">IF(O753="",0,IFERROR(INDEX(Purchases!I:I,MATCH(O753*1,Purchases!A:A,0)),0))</f>
        <v>0</v>
      </c>
      <c r="M753" s="44" t="n">
        <f aca="false">IF(G753="",0,K753-L753)</f>
        <v>0</v>
      </c>
      <c r="N753" s="49" t="str">
        <f aca="false">IFERROR(IF(G753="","",M753/G753),"")</f>
        <v/>
      </c>
      <c r="S753" s="49" t="n">
        <f aca="false">IFERROR(VLOOKUP(H753,Settings!B14:C25,2,FALSE()),0)</f>
        <v>0</v>
      </c>
    </row>
    <row r="754" customFormat="false" ht="15" hidden="false" customHeight="false" outlineLevel="0" collapsed="false">
      <c r="A754" s="37" t="str">
        <f aca="false">IF(B754="","",ROW()-3)</f>
        <v/>
      </c>
      <c r="B754" s="38"/>
      <c r="C754" s="39"/>
      <c r="D754" s="39"/>
      <c r="E754" s="39"/>
      <c r="F754" s="39"/>
      <c r="G754" s="40"/>
      <c r="H754" s="39"/>
      <c r="I754" s="40" t="n">
        <f aca="false">IF(G754="",0,G754*S754)</f>
        <v>0</v>
      </c>
      <c r="J754" s="40"/>
      <c r="K754" s="40" t="n">
        <f aca="false">IF(G754="",0,G754-I754-IF(J754="",0,J754))</f>
        <v>0</v>
      </c>
      <c r="L754" s="40" t="n">
        <f aca="false">IF(O754="",0,IFERROR(INDEX(Purchases!I:I,MATCH(O754*1,Purchases!A:A,0)),0))</f>
        <v>0</v>
      </c>
      <c r="M754" s="40" t="n">
        <f aca="false">IF(G754="",0,K754-L754)</f>
        <v>0</v>
      </c>
      <c r="N754" s="48" t="str">
        <f aca="false">IFERROR(IF(G754="","",M754/G754),"")</f>
        <v/>
      </c>
      <c r="O754" s="39"/>
      <c r="P754" s="39"/>
      <c r="Q754" s="39"/>
      <c r="R754" s="39"/>
      <c r="S754" s="48" t="n">
        <f aca="false">IFERROR(VLOOKUP(H754,Settings!B14:C25,2,FALSE()),0)</f>
        <v>0</v>
      </c>
    </row>
    <row r="755" customFormat="false" ht="15" hidden="false" customHeight="false" outlineLevel="0" collapsed="false">
      <c r="A755" s="41" t="str">
        <f aca="false">IF(B755="","",ROW()-3)</f>
        <v/>
      </c>
      <c r="B755" s="42"/>
      <c r="G755" s="44"/>
      <c r="I755" s="44" t="n">
        <f aca="false">IF(G755="",0,G755*S755)</f>
        <v>0</v>
      </c>
      <c r="J755" s="44"/>
      <c r="K755" s="44" t="n">
        <f aca="false">IF(G755="",0,G755-I755-IF(J755="",0,J755))</f>
        <v>0</v>
      </c>
      <c r="L755" s="44" t="n">
        <f aca="false">IF(O755="",0,IFERROR(INDEX(Purchases!I:I,MATCH(O755*1,Purchases!A:A,0)),0))</f>
        <v>0</v>
      </c>
      <c r="M755" s="44" t="n">
        <f aca="false">IF(G755="",0,K755-L755)</f>
        <v>0</v>
      </c>
      <c r="N755" s="49" t="str">
        <f aca="false">IFERROR(IF(G755="","",M755/G755),"")</f>
        <v/>
      </c>
      <c r="S755" s="49" t="n">
        <f aca="false">IFERROR(VLOOKUP(H755,Settings!B14:C25,2,FALSE()),0)</f>
        <v>0</v>
      </c>
    </row>
    <row r="756" customFormat="false" ht="15" hidden="false" customHeight="false" outlineLevel="0" collapsed="false">
      <c r="A756" s="37" t="str">
        <f aca="false">IF(B756="","",ROW()-3)</f>
        <v/>
      </c>
      <c r="B756" s="38"/>
      <c r="C756" s="39"/>
      <c r="D756" s="39"/>
      <c r="E756" s="39"/>
      <c r="F756" s="39"/>
      <c r="G756" s="40"/>
      <c r="H756" s="39"/>
      <c r="I756" s="40" t="n">
        <f aca="false">IF(G756="",0,G756*S756)</f>
        <v>0</v>
      </c>
      <c r="J756" s="40"/>
      <c r="K756" s="40" t="n">
        <f aca="false">IF(G756="",0,G756-I756-IF(J756="",0,J756))</f>
        <v>0</v>
      </c>
      <c r="L756" s="40" t="n">
        <f aca="false">IF(O756="",0,IFERROR(INDEX(Purchases!I:I,MATCH(O756*1,Purchases!A:A,0)),0))</f>
        <v>0</v>
      </c>
      <c r="M756" s="40" t="n">
        <f aca="false">IF(G756="",0,K756-L756)</f>
        <v>0</v>
      </c>
      <c r="N756" s="48" t="str">
        <f aca="false">IFERROR(IF(G756="","",M756/G756),"")</f>
        <v/>
      </c>
      <c r="O756" s="39"/>
      <c r="P756" s="39"/>
      <c r="Q756" s="39"/>
      <c r="R756" s="39"/>
      <c r="S756" s="48" t="n">
        <f aca="false">IFERROR(VLOOKUP(H756,Settings!B14:C25,2,FALSE()),0)</f>
        <v>0</v>
      </c>
    </row>
    <row r="757" customFormat="false" ht="15" hidden="false" customHeight="false" outlineLevel="0" collapsed="false">
      <c r="A757" s="41" t="str">
        <f aca="false">IF(B757="","",ROW()-3)</f>
        <v/>
      </c>
      <c r="B757" s="42"/>
      <c r="G757" s="44"/>
      <c r="I757" s="44" t="n">
        <f aca="false">IF(G757="",0,G757*S757)</f>
        <v>0</v>
      </c>
      <c r="J757" s="44"/>
      <c r="K757" s="44" t="n">
        <f aca="false">IF(G757="",0,G757-I757-IF(J757="",0,J757))</f>
        <v>0</v>
      </c>
      <c r="L757" s="44" t="n">
        <f aca="false">IF(O757="",0,IFERROR(INDEX(Purchases!I:I,MATCH(O757*1,Purchases!A:A,0)),0))</f>
        <v>0</v>
      </c>
      <c r="M757" s="44" t="n">
        <f aca="false">IF(G757="",0,K757-L757)</f>
        <v>0</v>
      </c>
      <c r="N757" s="49" t="str">
        <f aca="false">IFERROR(IF(G757="","",M757/G757),"")</f>
        <v/>
      </c>
      <c r="S757" s="49" t="n">
        <f aca="false">IFERROR(VLOOKUP(H757,Settings!B14:C25,2,FALSE()),0)</f>
        <v>0</v>
      </c>
    </row>
    <row r="758" customFormat="false" ht="15" hidden="false" customHeight="false" outlineLevel="0" collapsed="false">
      <c r="A758" s="37" t="str">
        <f aca="false">IF(B758="","",ROW()-3)</f>
        <v/>
      </c>
      <c r="B758" s="38"/>
      <c r="C758" s="39"/>
      <c r="D758" s="39"/>
      <c r="E758" s="39"/>
      <c r="F758" s="39"/>
      <c r="G758" s="40"/>
      <c r="H758" s="39"/>
      <c r="I758" s="40" t="n">
        <f aca="false">IF(G758="",0,G758*S758)</f>
        <v>0</v>
      </c>
      <c r="J758" s="40"/>
      <c r="K758" s="40" t="n">
        <f aca="false">IF(G758="",0,G758-I758-IF(J758="",0,J758))</f>
        <v>0</v>
      </c>
      <c r="L758" s="40" t="n">
        <f aca="false">IF(O758="",0,IFERROR(INDEX(Purchases!I:I,MATCH(O758*1,Purchases!A:A,0)),0))</f>
        <v>0</v>
      </c>
      <c r="M758" s="40" t="n">
        <f aca="false">IF(G758="",0,K758-L758)</f>
        <v>0</v>
      </c>
      <c r="N758" s="48" t="str">
        <f aca="false">IFERROR(IF(G758="","",M758/G758),"")</f>
        <v/>
      </c>
      <c r="O758" s="39"/>
      <c r="P758" s="39"/>
      <c r="Q758" s="39"/>
      <c r="R758" s="39"/>
      <c r="S758" s="48" t="n">
        <f aca="false">IFERROR(VLOOKUP(H758,Settings!B14:C25,2,FALSE()),0)</f>
        <v>0</v>
      </c>
    </row>
    <row r="759" customFormat="false" ht="15" hidden="false" customHeight="false" outlineLevel="0" collapsed="false">
      <c r="A759" s="41" t="str">
        <f aca="false">IF(B759="","",ROW()-3)</f>
        <v/>
      </c>
      <c r="B759" s="42"/>
      <c r="G759" s="44"/>
      <c r="I759" s="44" t="n">
        <f aca="false">IF(G759="",0,G759*S759)</f>
        <v>0</v>
      </c>
      <c r="J759" s="44"/>
      <c r="K759" s="44" t="n">
        <f aca="false">IF(G759="",0,G759-I759-IF(J759="",0,J759))</f>
        <v>0</v>
      </c>
      <c r="L759" s="44" t="n">
        <f aca="false">IF(O759="",0,IFERROR(INDEX(Purchases!I:I,MATCH(O759*1,Purchases!A:A,0)),0))</f>
        <v>0</v>
      </c>
      <c r="M759" s="44" t="n">
        <f aca="false">IF(G759="",0,K759-L759)</f>
        <v>0</v>
      </c>
      <c r="N759" s="49" t="str">
        <f aca="false">IFERROR(IF(G759="","",M759/G759),"")</f>
        <v/>
      </c>
      <c r="S759" s="49" t="n">
        <f aca="false">IFERROR(VLOOKUP(H759,Settings!B14:C25,2,FALSE()),0)</f>
        <v>0</v>
      </c>
    </row>
    <row r="760" customFormat="false" ht="15" hidden="false" customHeight="false" outlineLevel="0" collapsed="false">
      <c r="A760" s="37" t="str">
        <f aca="false">IF(B760="","",ROW()-3)</f>
        <v/>
      </c>
      <c r="B760" s="38"/>
      <c r="C760" s="39"/>
      <c r="D760" s="39"/>
      <c r="E760" s="39"/>
      <c r="F760" s="39"/>
      <c r="G760" s="40"/>
      <c r="H760" s="39"/>
      <c r="I760" s="40" t="n">
        <f aca="false">IF(G760="",0,G760*S760)</f>
        <v>0</v>
      </c>
      <c r="J760" s="40"/>
      <c r="K760" s="40" t="n">
        <f aca="false">IF(G760="",0,G760-I760-IF(J760="",0,J760))</f>
        <v>0</v>
      </c>
      <c r="L760" s="40" t="n">
        <f aca="false">IF(O760="",0,IFERROR(INDEX(Purchases!I:I,MATCH(O760*1,Purchases!A:A,0)),0))</f>
        <v>0</v>
      </c>
      <c r="M760" s="40" t="n">
        <f aca="false">IF(G760="",0,K760-L760)</f>
        <v>0</v>
      </c>
      <c r="N760" s="48" t="str">
        <f aca="false">IFERROR(IF(G760="","",M760/G760),"")</f>
        <v/>
      </c>
      <c r="O760" s="39"/>
      <c r="P760" s="39"/>
      <c r="Q760" s="39"/>
      <c r="R760" s="39"/>
      <c r="S760" s="48" t="n">
        <f aca="false">IFERROR(VLOOKUP(H760,Settings!B14:C25,2,FALSE()),0)</f>
        <v>0</v>
      </c>
    </row>
    <row r="761" customFormat="false" ht="15" hidden="false" customHeight="false" outlineLevel="0" collapsed="false">
      <c r="A761" s="41" t="str">
        <f aca="false">IF(B761="","",ROW()-3)</f>
        <v/>
      </c>
      <c r="B761" s="42"/>
      <c r="G761" s="44"/>
      <c r="I761" s="44" t="n">
        <f aca="false">IF(G761="",0,G761*S761)</f>
        <v>0</v>
      </c>
      <c r="J761" s="44"/>
      <c r="K761" s="44" t="n">
        <f aca="false">IF(G761="",0,G761-I761-IF(J761="",0,J761))</f>
        <v>0</v>
      </c>
      <c r="L761" s="44" t="n">
        <f aca="false">IF(O761="",0,IFERROR(INDEX(Purchases!I:I,MATCH(O761*1,Purchases!A:A,0)),0))</f>
        <v>0</v>
      </c>
      <c r="M761" s="44" t="n">
        <f aca="false">IF(G761="",0,K761-L761)</f>
        <v>0</v>
      </c>
      <c r="N761" s="49" t="str">
        <f aca="false">IFERROR(IF(G761="","",M761/G761),"")</f>
        <v/>
      </c>
      <c r="S761" s="49" t="n">
        <f aca="false">IFERROR(VLOOKUP(H761,Settings!B14:C25,2,FALSE()),0)</f>
        <v>0</v>
      </c>
    </row>
    <row r="762" customFormat="false" ht="15" hidden="false" customHeight="false" outlineLevel="0" collapsed="false">
      <c r="A762" s="37" t="str">
        <f aca="false">IF(B762="","",ROW()-3)</f>
        <v/>
      </c>
      <c r="B762" s="38"/>
      <c r="C762" s="39"/>
      <c r="D762" s="39"/>
      <c r="E762" s="39"/>
      <c r="F762" s="39"/>
      <c r="G762" s="40"/>
      <c r="H762" s="39"/>
      <c r="I762" s="40" t="n">
        <f aca="false">IF(G762="",0,G762*S762)</f>
        <v>0</v>
      </c>
      <c r="J762" s="40"/>
      <c r="K762" s="40" t="n">
        <f aca="false">IF(G762="",0,G762-I762-IF(J762="",0,J762))</f>
        <v>0</v>
      </c>
      <c r="L762" s="40" t="n">
        <f aca="false">IF(O762="",0,IFERROR(INDEX(Purchases!I:I,MATCH(O762*1,Purchases!A:A,0)),0))</f>
        <v>0</v>
      </c>
      <c r="M762" s="40" t="n">
        <f aca="false">IF(G762="",0,K762-L762)</f>
        <v>0</v>
      </c>
      <c r="N762" s="48" t="str">
        <f aca="false">IFERROR(IF(G762="","",M762/G762),"")</f>
        <v/>
      </c>
      <c r="O762" s="39"/>
      <c r="P762" s="39"/>
      <c r="Q762" s="39"/>
      <c r="R762" s="39"/>
      <c r="S762" s="48" t="n">
        <f aca="false">IFERROR(VLOOKUP(H762,Settings!B14:C25,2,FALSE()),0)</f>
        <v>0</v>
      </c>
    </row>
    <row r="763" customFormat="false" ht="15" hidden="false" customHeight="false" outlineLevel="0" collapsed="false">
      <c r="A763" s="41" t="str">
        <f aca="false">IF(B763="","",ROW()-3)</f>
        <v/>
      </c>
      <c r="B763" s="42"/>
      <c r="G763" s="44"/>
      <c r="I763" s="44" t="n">
        <f aca="false">IF(G763="",0,G763*S763)</f>
        <v>0</v>
      </c>
      <c r="J763" s="44"/>
      <c r="K763" s="44" t="n">
        <f aca="false">IF(G763="",0,G763-I763-IF(J763="",0,J763))</f>
        <v>0</v>
      </c>
      <c r="L763" s="44" t="n">
        <f aca="false">IF(O763="",0,IFERROR(INDEX(Purchases!I:I,MATCH(O763*1,Purchases!A:A,0)),0))</f>
        <v>0</v>
      </c>
      <c r="M763" s="44" t="n">
        <f aca="false">IF(G763="",0,K763-L763)</f>
        <v>0</v>
      </c>
      <c r="N763" s="49" t="str">
        <f aca="false">IFERROR(IF(G763="","",M763/G763),"")</f>
        <v/>
      </c>
      <c r="S763" s="49" t="n">
        <f aca="false">IFERROR(VLOOKUP(H763,Settings!B14:C25,2,FALSE()),0)</f>
        <v>0</v>
      </c>
    </row>
    <row r="764" customFormat="false" ht="15" hidden="false" customHeight="false" outlineLevel="0" collapsed="false">
      <c r="A764" s="37" t="str">
        <f aca="false">IF(B764="","",ROW()-3)</f>
        <v/>
      </c>
      <c r="B764" s="38"/>
      <c r="C764" s="39"/>
      <c r="D764" s="39"/>
      <c r="E764" s="39"/>
      <c r="F764" s="39"/>
      <c r="G764" s="40"/>
      <c r="H764" s="39"/>
      <c r="I764" s="40" t="n">
        <f aca="false">IF(G764="",0,G764*S764)</f>
        <v>0</v>
      </c>
      <c r="J764" s="40"/>
      <c r="K764" s="40" t="n">
        <f aca="false">IF(G764="",0,G764-I764-IF(J764="",0,J764))</f>
        <v>0</v>
      </c>
      <c r="L764" s="40" t="n">
        <f aca="false">IF(O764="",0,IFERROR(INDEX(Purchases!I:I,MATCH(O764*1,Purchases!A:A,0)),0))</f>
        <v>0</v>
      </c>
      <c r="M764" s="40" t="n">
        <f aca="false">IF(G764="",0,K764-L764)</f>
        <v>0</v>
      </c>
      <c r="N764" s="48" t="str">
        <f aca="false">IFERROR(IF(G764="","",M764/G764),"")</f>
        <v/>
      </c>
      <c r="O764" s="39"/>
      <c r="P764" s="39"/>
      <c r="Q764" s="39"/>
      <c r="R764" s="39"/>
      <c r="S764" s="48" t="n">
        <f aca="false">IFERROR(VLOOKUP(H764,Settings!B14:C25,2,FALSE()),0)</f>
        <v>0</v>
      </c>
    </row>
    <row r="765" customFormat="false" ht="15" hidden="false" customHeight="false" outlineLevel="0" collapsed="false">
      <c r="A765" s="41" t="str">
        <f aca="false">IF(B765="","",ROW()-3)</f>
        <v/>
      </c>
      <c r="B765" s="42"/>
      <c r="G765" s="44"/>
      <c r="I765" s="44" t="n">
        <f aca="false">IF(G765="",0,G765*S765)</f>
        <v>0</v>
      </c>
      <c r="J765" s="44"/>
      <c r="K765" s="44" t="n">
        <f aca="false">IF(G765="",0,G765-I765-IF(J765="",0,J765))</f>
        <v>0</v>
      </c>
      <c r="L765" s="44" t="n">
        <f aca="false">IF(O765="",0,IFERROR(INDEX(Purchases!I:I,MATCH(O765*1,Purchases!A:A,0)),0))</f>
        <v>0</v>
      </c>
      <c r="M765" s="44" t="n">
        <f aca="false">IF(G765="",0,K765-L765)</f>
        <v>0</v>
      </c>
      <c r="N765" s="49" t="str">
        <f aca="false">IFERROR(IF(G765="","",M765/G765),"")</f>
        <v/>
      </c>
      <c r="S765" s="49" t="n">
        <f aca="false">IFERROR(VLOOKUP(H765,Settings!B14:C25,2,FALSE()),0)</f>
        <v>0</v>
      </c>
    </row>
    <row r="766" customFormat="false" ht="15" hidden="false" customHeight="false" outlineLevel="0" collapsed="false">
      <c r="A766" s="37" t="str">
        <f aca="false">IF(B766="","",ROW()-3)</f>
        <v/>
      </c>
      <c r="B766" s="38"/>
      <c r="C766" s="39"/>
      <c r="D766" s="39"/>
      <c r="E766" s="39"/>
      <c r="F766" s="39"/>
      <c r="G766" s="40"/>
      <c r="H766" s="39"/>
      <c r="I766" s="40" t="n">
        <f aca="false">IF(G766="",0,G766*S766)</f>
        <v>0</v>
      </c>
      <c r="J766" s="40"/>
      <c r="K766" s="40" t="n">
        <f aca="false">IF(G766="",0,G766-I766-IF(J766="",0,J766))</f>
        <v>0</v>
      </c>
      <c r="L766" s="40" t="n">
        <f aca="false">IF(O766="",0,IFERROR(INDEX(Purchases!I:I,MATCH(O766*1,Purchases!A:A,0)),0))</f>
        <v>0</v>
      </c>
      <c r="M766" s="40" t="n">
        <f aca="false">IF(G766="",0,K766-L766)</f>
        <v>0</v>
      </c>
      <c r="N766" s="48" t="str">
        <f aca="false">IFERROR(IF(G766="","",M766/G766),"")</f>
        <v/>
      </c>
      <c r="O766" s="39"/>
      <c r="P766" s="39"/>
      <c r="Q766" s="39"/>
      <c r="R766" s="39"/>
      <c r="S766" s="48" t="n">
        <f aca="false">IFERROR(VLOOKUP(H766,Settings!B14:C25,2,FALSE()),0)</f>
        <v>0</v>
      </c>
    </row>
    <row r="767" customFormat="false" ht="15" hidden="false" customHeight="false" outlineLevel="0" collapsed="false">
      <c r="A767" s="41" t="str">
        <f aca="false">IF(B767="","",ROW()-3)</f>
        <v/>
      </c>
      <c r="B767" s="42"/>
      <c r="G767" s="44"/>
      <c r="I767" s="44" t="n">
        <f aca="false">IF(G767="",0,G767*S767)</f>
        <v>0</v>
      </c>
      <c r="J767" s="44"/>
      <c r="K767" s="44" t="n">
        <f aca="false">IF(G767="",0,G767-I767-IF(J767="",0,J767))</f>
        <v>0</v>
      </c>
      <c r="L767" s="44" t="n">
        <f aca="false">IF(O767="",0,IFERROR(INDEX(Purchases!I:I,MATCH(O767*1,Purchases!A:A,0)),0))</f>
        <v>0</v>
      </c>
      <c r="M767" s="44" t="n">
        <f aca="false">IF(G767="",0,K767-L767)</f>
        <v>0</v>
      </c>
      <c r="N767" s="49" t="str">
        <f aca="false">IFERROR(IF(G767="","",M767/G767),"")</f>
        <v/>
      </c>
      <c r="S767" s="49" t="n">
        <f aca="false">IFERROR(VLOOKUP(H767,Settings!B14:C25,2,FALSE()),0)</f>
        <v>0</v>
      </c>
    </row>
    <row r="768" customFormat="false" ht="15" hidden="false" customHeight="false" outlineLevel="0" collapsed="false">
      <c r="A768" s="37" t="str">
        <f aca="false">IF(B768="","",ROW()-3)</f>
        <v/>
      </c>
      <c r="B768" s="38"/>
      <c r="C768" s="39"/>
      <c r="D768" s="39"/>
      <c r="E768" s="39"/>
      <c r="F768" s="39"/>
      <c r="G768" s="40"/>
      <c r="H768" s="39"/>
      <c r="I768" s="40" t="n">
        <f aca="false">IF(G768="",0,G768*S768)</f>
        <v>0</v>
      </c>
      <c r="J768" s="40"/>
      <c r="K768" s="40" t="n">
        <f aca="false">IF(G768="",0,G768-I768-IF(J768="",0,J768))</f>
        <v>0</v>
      </c>
      <c r="L768" s="40" t="n">
        <f aca="false">IF(O768="",0,IFERROR(INDEX(Purchases!I:I,MATCH(O768*1,Purchases!A:A,0)),0))</f>
        <v>0</v>
      </c>
      <c r="M768" s="40" t="n">
        <f aca="false">IF(G768="",0,K768-L768)</f>
        <v>0</v>
      </c>
      <c r="N768" s="48" t="str">
        <f aca="false">IFERROR(IF(G768="","",M768/G768),"")</f>
        <v/>
      </c>
      <c r="O768" s="39"/>
      <c r="P768" s="39"/>
      <c r="Q768" s="39"/>
      <c r="R768" s="39"/>
      <c r="S768" s="48" t="n">
        <f aca="false">IFERROR(VLOOKUP(H768,Settings!B14:C25,2,FALSE()),0)</f>
        <v>0</v>
      </c>
    </row>
    <row r="769" customFormat="false" ht="15" hidden="false" customHeight="false" outlineLevel="0" collapsed="false">
      <c r="A769" s="41" t="str">
        <f aca="false">IF(B769="","",ROW()-3)</f>
        <v/>
      </c>
      <c r="B769" s="42"/>
      <c r="G769" s="44"/>
      <c r="I769" s="44" t="n">
        <f aca="false">IF(G769="",0,G769*S769)</f>
        <v>0</v>
      </c>
      <c r="J769" s="44"/>
      <c r="K769" s="44" t="n">
        <f aca="false">IF(G769="",0,G769-I769-IF(J769="",0,J769))</f>
        <v>0</v>
      </c>
      <c r="L769" s="44" t="n">
        <f aca="false">IF(O769="",0,IFERROR(INDEX(Purchases!I:I,MATCH(O769*1,Purchases!A:A,0)),0))</f>
        <v>0</v>
      </c>
      <c r="M769" s="44" t="n">
        <f aca="false">IF(G769="",0,K769-L769)</f>
        <v>0</v>
      </c>
      <c r="N769" s="49" t="str">
        <f aca="false">IFERROR(IF(G769="","",M769/G769),"")</f>
        <v/>
      </c>
      <c r="S769" s="49" t="n">
        <f aca="false">IFERROR(VLOOKUP(H769,Settings!B14:C25,2,FALSE()),0)</f>
        <v>0</v>
      </c>
    </row>
    <row r="770" customFormat="false" ht="15" hidden="false" customHeight="false" outlineLevel="0" collapsed="false">
      <c r="A770" s="37" t="str">
        <f aca="false">IF(B770="","",ROW()-3)</f>
        <v/>
      </c>
      <c r="B770" s="38"/>
      <c r="C770" s="39"/>
      <c r="D770" s="39"/>
      <c r="E770" s="39"/>
      <c r="F770" s="39"/>
      <c r="G770" s="40"/>
      <c r="H770" s="39"/>
      <c r="I770" s="40" t="n">
        <f aca="false">IF(G770="",0,G770*S770)</f>
        <v>0</v>
      </c>
      <c r="J770" s="40"/>
      <c r="K770" s="40" t="n">
        <f aca="false">IF(G770="",0,G770-I770-IF(J770="",0,J770))</f>
        <v>0</v>
      </c>
      <c r="L770" s="40" t="n">
        <f aca="false">IF(O770="",0,IFERROR(INDEX(Purchases!I:I,MATCH(O770*1,Purchases!A:A,0)),0))</f>
        <v>0</v>
      </c>
      <c r="M770" s="40" t="n">
        <f aca="false">IF(G770="",0,K770-L770)</f>
        <v>0</v>
      </c>
      <c r="N770" s="48" t="str">
        <f aca="false">IFERROR(IF(G770="","",M770/G770),"")</f>
        <v/>
      </c>
      <c r="O770" s="39"/>
      <c r="P770" s="39"/>
      <c r="Q770" s="39"/>
      <c r="R770" s="39"/>
      <c r="S770" s="48" t="n">
        <f aca="false">IFERROR(VLOOKUP(H770,Settings!B14:C25,2,FALSE()),0)</f>
        <v>0</v>
      </c>
    </row>
    <row r="771" customFormat="false" ht="15" hidden="false" customHeight="false" outlineLevel="0" collapsed="false">
      <c r="A771" s="41" t="str">
        <f aca="false">IF(B771="","",ROW()-3)</f>
        <v/>
      </c>
      <c r="B771" s="42"/>
      <c r="G771" s="44"/>
      <c r="I771" s="44" t="n">
        <f aca="false">IF(G771="",0,G771*S771)</f>
        <v>0</v>
      </c>
      <c r="J771" s="44"/>
      <c r="K771" s="44" t="n">
        <f aca="false">IF(G771="",0,G771-I771-IF(J771="",0,J771))</f>
        <v>0</v>
      </c>
      <c r="L771" s="44" t="n">
        <f aca="false">IF(O771="",0,IFERROR(INDEX(Purchases!I:I,MATCH(O771*1,Purchases!A:A,0)),0))</f>
        <v>0</v>
      </c>
      <c r="M771" s="44" t="n">
        <f aca="false">IF(G771="",0,K771-L771)</f>
        <v>0</v>
      </c>
      <c r="N771" s="49" t="str">
        <f aca="false">IFERROR(IF(G771="","",M771/G771),"")</f>
        <v/>
      </c>
      <c r="S771" s="49" t="n">
        <f aca="false">IFERROR(VLOOKUP(H771,Settings!B14:C25,2,FALSE()),0)</f>
        <v>0</v>
      </c>
    </row>
    <row r="772" customFormat="false" ht="15" hidden="false" customHeight="false" outlineLevel="0" collapsed="false">
      <c r="A772" s="37" t="str">
        <f aca="false">IF(B772="","",ROW()-3)</f>
        <v/>
      </c>
      <c r="B772" s="38"/>
      <c r="C772" s="39"/>
      <c r="D772" s="39"/>
      <c r="E772" s="39"/>
      <c r="F772" s="39"/>
      <c r="G772" s="40"/>
      <c r="H772" s="39"/>
      <c r="I772" s="40" t="n">
        <f aca="false">IF(G772="",0,G772*S772)</f>
        <v>0</v>
      </c>
      <c r="J772" s="40"/>
      <c r="K772" s="40" t="n">
        <f aca="false">IF(G772="",0,G772-I772-IF(J772="",0,J772))</f>
        <v>0</v>
      </c>
      <c r="L772" s="40" t="n">
        <f aca="false">IF(O772="",0,IFERROR(INDEX(Purchases!I:I,MATCH(O772*1,Purchases!A:A,0)),0))</f>
        <v>0</v>
      </c>
      <c r="M772" s="40" t="n">
        <f aca="false">IF(G772="",0,K772-L772)</f>
        <v>0</v>
      </c>
      <c r="N772" s="48" t="str">
        <f aca="false">IFERROR(IF(G772="","",M772/G772),"")</f>
        <v/>
      </c>
      <c r="O772" s="39"/>
      <c r="P772" s="39"/>
      <c r="Q772" s="39"/>
      <c r="R772" s="39"/>
      <c r="S772" s="48" t="n">
        <f aca="false">IFERROR(VLOOKUP(H772,Settings!B14:C25,2,FALSE()),0)</f>
        <v>0</v>
      </c>
    </row>
    <row r="773" customFormat="false" ht="15" hidden="false" customHeight="false" outlineLevel="0" collapsed="false">
      <c r="A773" s="41" t="str">
        <f aca="false">IF(B773="","",ROW()-3)</f>
        <v/>
      </c>
      <c r="B773" s="42"/>
      <c r="G773" s="44"/>
      <c r="I773" s="44" t="n">
        <f aca="false">IF(G773="",0,G773*S773)</f>
        <v>0</v>
      </c>
      <c r="J773" s="44"/>
      <c r="K773" s="44" t="n">
        <f aca="false">IF(G773="",0,G773-I773-IF(J773="",0,J773))</f>
        <v>0</v>
      </c>
      <c r="L773" s="44" t="n">
        <f aca="false">IF(O773="",0,IFERROR(INDEX(Purchases!I:I,MATCH(O773*1,Purchases!A:A,0)),0))</f>
        <v>0</v>
      </c>
      <c r="M773" s="44" t="n">
        <f aca="false">IF(G773="",0,K773-L773)</f>
        <v>0</v>
      </c>
      <c r="N773" s="49" t="str">
        <f aca="false">IFERROR(IF(G773="","",M773/G773),"")</f>
        <v/>
      </c>
      <c r="S773" s="49" t="n">
        <f aca="false">IFERROR(VLOOKUP(H773,Settings!B14:C25,2,FALSE()),0)</f>
        <v>0</v>
      </c>
    </row>
    <row r="774" customFormat="false" ht="15" hidden="false" customHeight="false" outlineLevel="0" collapsed="false">
      <c r="A774" s="37" t="str">
        <f aca="false">IF(B774="","",ROW()-3)</f>
        <v/>
      </c>
      <c r="B774" s="38"/>
      <c r="C774" s="39"/>
      <c r="D774" s="39"/>
      <c r="E774" s="39"/>
      <c r="F774" s="39"/>
      <c r="G774" s="40"/>
      <c r="H774" s="39"/>
      <c r="I774" s="40" t="n">
        <f aca="false">IF(G774="",0,G774*S774)</f>
        <v>0</v>
      </c>
      <c r="J774" s="40"/>
      <c r="K774" s="40" t="n">
        <f aca="false">IF(G774="",0,G774-I774-IF(J774="",0,J774))</f>
        <v>0</v>
      </c>
      <c r="L774" s="40" t="n">
        <f aca="false">IF(O774="",0,IFERROR(INDEX(Purchases!I:I,MATCH(O774*1,Purchases!A:A,0)),0))</f>
        <v>0</v>
      </c>
      <c r="M774" s="40" t="n">
        <f aca="false">IF(G774="",0,K774-L774)</f>
        <v>0</v>
      </c>
      <c r="N774" s="48" t="str">
        <f aca="false">IFERROR(IF(G774="","",M774/G774),"")</f>
        <v/>
      </c>
      <c r="O774" s="39"/>
      <c r="P774" s="39"/>
      <c r="Q774" s="39"/>
      <c r="R774" s="39"/>
      <c r="S774" s="48" t="n">
        <f aca="false">IFERROR(VLOOKUP(H774,Settings!B14:C25,2,FALSE()),0)</f>
        <v>0</v>
      </c>
    </row>
    <row r="775" customFormat="false" ht="15" hidden="false" customHeight="false" outlineLevel="0" collapsed="false">
      <c r="A775" s="41" t="str">
        <f aca="false">IF(B775="","",ROW()-3)</f>
        <v/>
      </c>
      <c r="B775" s="42"/>
      <c r="G775" s="44"/>
      <c r="I775" s="44" t="n">
        <f aca="false">IF(G775="",0,G775*S775)</f>
        <v>0</v>
      </c>
      <c r="J775" s="44"/>
      <c r="K775" s="44" t="n">
        <f aca="false">IF(G775="",0,G775-I775-IF(J775="",0,J775))</f>
        <v>0</v>
      </c>
      <c r="L775" s="44" t="n">
        <f aca="false">IF(O775="",0,IFERROR(INDEX(Purchases!I:I,MATCH(O775*1,Purchases!A:A,0)),0))</f>
        <v>0</v>
      </c>
      <c r="M775" s="44" t="n">
        <f aca="false">IF(G775="",0,K775-L775)</f>
        <v>0</v>
      </c>
      <c r="N775" s="49" t="str">
        <f aca="false">IFERROR(IF(G775="","",M775/G775),"")</f>
        <v/>
      </c>
      <c r="S775" s="49" t="n">
        <f aca="false">IFERROR(VLOOKUP(H775,Settings!B14:C25,2,FALSE()),0)</f>
        <v>0</v>
      </c>
    </row>
    <row r="776" customFormat="false" ht="15" hidden="false" customHeight="false" outlineLevel="0" collapsed="false">
      <c r="A776" s="37" t="str">
        <f aca="false">IF(B776="","",ROW()-3)</f>
        <v/>
      </c>
      <c r="B776" s="38"/>
      <c r="C776" s="39"/>
      <c r="D776" s="39"/>
      <c r="E776" s="39"/>
      <c r="F776" s="39"/>
      <c r="G776" s="40"/>
      <c r="H776" s="39"/>
      <c r="I776" s="40" t="n">
        <f aca="false">IF(G776="",0,G776*S776)</f>
        <v>0</v>
      </c>
      <c r="J776" s="40"/>
      <c r="K776" s="40" t="n">
        <f aca="false">IF(G776="",0,G776-I776-IF(J776="",0,J776))</f>
        <v>0</v>
      </c>
      <c r="L776" s="40" t="n">
        <f aca="false">IF(O776="",0,IFERROR(INDEX(Purchases!I:I,MATCH(O776*1,Purchases!A:A,0)),0))</f>
        <v>0</v>
      </c>
      <c r="M776" s="40" t="n">
        <f aca="false">IF(G776="",0,K776-L776)</f>
        <v>0</v>
      </c>
      <c r="N776" s="48" t="str">
        <f aca="false">IFERROR(IF(G776="","",M776/G776),"")</f>
        <v/>
      </c>
      <c r="O776" s="39"/>
      <c r="P776" s="39"/>
      <c r="Q776" s="39"/>
      <c r="R776" s="39"/>
      <c r="S776" s="48" t="n">
        <f aca="false">IFERROR(VLOOKUP(H776,Settings!B14:C25,2,FALSE()),0)</f>
        <v>0</v>
      </c>
    </row>
    <row r="777" customFormat="false" ht="15" hidden="false" customHeight="false" outlineLevel="0" collapsed="false">
      <c r="A777" s="41" t="str">
        <f aca="false">IF(B777="","",ROW()-3)</f>
        <v/>
      </c>
      <c r="B777" s="42"/>
      <c r="G777" s="44"/>
      <c r="I777" s="44" t="n">
        <f aca="false">IF(G777="",0,G777*S777)</f>
        <v>0</v>
      </c>
      <c r="J777" s="44"/>
      <c r="K777" s="44" t="n">
        <f aca="false">IF(G777="",0,G777-I777-IF(J777="",0,J777))</f>
        <v>0</v>
      </c>
      <c r="L777" s="44" t="n">
        <f aca="false">IF(O777="",0,IFERROR(INDEX(Purchases!I:I,MATCH(O777*1,Purchases!A:A,0)),0))</f>
        <v>0</v>
      </c>
      <c r="M777" s="44" t="n">
        <f aca="false">IF(G777="",0,K777-L777)</f>
        <v>0</v>
      </c>
      <c r="N777" s="49" t="str">
        <f aca="false">IFERROR(IF(G777="","",M777/G777),"")</f>
        <v/>
      </c>
      <c r="S777" s="49" t="n">
        <f aca="false">IFERROR(VLOOKUP(H777,Settings!B14:C25,2,FALSE()),0)</f>
        <v>0</v>
      </c>
    </row>
    <row r="778" customFormat="false" ht="15" hidden="false" customHeight="false" outlineLevel="0" collapsed="false">
      <c r="A778" s="37" t="str">
        <f aca="false">IF(B778="","",ROW()-3)</f>
        <v/>
      </c>
      <c r="B778" s="38"/>
      <c r="C778" s="39"/>
      <c r="D778" s="39"/>
      <c r="E778" s="39"/>
      <c r="F778" s="39"/>
      <c r="G778" s="40"/>
      <c r="H778" s="39"/>
      <c r="I778" s="40" t="n">
        <f aca="false">IF(G778="",0,G778*S778)</f>
        <v>0</v>
      </c>
      <c r="J778" s="40"/>
      <c r="K778" s="40" t="n">
        <f aca="false">IF(G778="",0,G778-I778-IF(J778="",0,J778))</f>
        <v>0</v>
      </c>
      <c r="L778" s="40" t="n">
        <f aca="false">IF(O778="",0,IFERROR(INDEX(Purchases!I:I,MATCH(O778*1,Purchases!A:A,0)),0))</f>
        <v>0</v>
      </c>
      <c r="M778" s="40" t="n">
        <f aca="false">IF(G778="",0,K778-L778)</f>
        <v>0</v>
      </c>
      <c r="N778" s="48" t="str">
        <f aca="false">IFERROR(IF(G778="","",M778/G778),"")</f>
        <v/>
      </c>
      <c r="O778" s="39"/>
      <c r="P778" s="39"/>
      <c r="Q778" s="39"/>
      <c r="R778" s="39"/>
      <c r="S778" s="48" t="n">
        <f aca="false">IFERROR(VLOOKUP(H778,Settings!B14:C25,2,FALSE()),0)</f>
        <v>0</v>
      </c>
    </row>
    <row r="779" customFormat="false" ht="15" hidden="false" customHeight="false" outlineLevel="0" collapsed="false">
      <c r="A779" s="41" t="str">
        <f aca="false">IF(B779="","",ROW()-3)</f>
        <v/>
      </c>
      <c r="B779" s="42"/>
      <c r="G779" s="44"/>
      <c r="I779" s="44" t="n">
        <f aca="false">IF(G779="",0,G779*S779)</f>
        <v>0</v>
      </c>
      <c r="J779" s="44"/>
      <c r="K779" s="44" t="n">
        <f aca="false">IF(G779="",0,G779-I779-IF(J779="",0,J779))</f>
        <v>0</v>
      </c>
      <c r="L779" s="44" t="n">
        <f aca="false">IF(O779="",0,IFERROR(INDEX(Purchases!I:I,MATCH(O779*1,Purchases!A:A,0)),0))</f>
        <v>0</v>
      </c>
      <c r="M779" s="44" t="n">
        <f aca="false">IF(G779="",0,K779-L779)</f>
        <v>0</v>
      </c>
      <c r="N779" s="49" t="str">
        <f aca="false">IFERROR(IF(G779="","",M779/G779),"")</f>
        <v/>
      </c>
      <c r="S779" s="49" t="n">
        <f aca="false">IFERROR(VLOOKUP(H779,Settings!B14:C25,2,FALSE()),0)</f>
        <v>0</v>
      </c>
    </row>
    <row r="780" customFormat="false" ht="15" hidden="false" customHeight="false" outlineLevel="0" collapsed="false">
      <c r="A780" s="37" t="str">
        <f aca="false">IF(B780="","",ROW()-3)</f>
        <v/>
      </c>
      <c r="B780" s="38"/>
      <c r="C780" s="39"/>
      <c r="D780" s="39"/>
      <c r="E780" s="39"/>
      <c r="F780" s="39"/>
      <c r="G780" s="40"/>
      <c r="H780" s="39"/>
      <c r="I780" s="40" t="n">
        <f aca="false">IF(G780="",0,G780*S780)</f>
        <v>0</v>
      </c>
      <c r="J780" s="40"/>
      <c r="K780" s="40" t="n">
        <f aca="false">IF(G780="",0,G780-I780-IF(J780="",0,J780))</f>
        <v>0</v>
      </c>
      <c r="L780" s="40" t="n">
        <f aca="false">IF(O780="",0,IFERROR(INDEX(Purchases!I:I,MATCH(O780*1,Purchases!A:A,0)),0))</f>
        <v>0</v>
      </c>
      <c r="M780" s="40" t="n">
        <f aca="false">IF(G780="",0,K780-L780)</f>
        <v>0</v>
      </c>
      <c r="N780" s="48" t="str">
        <f aca="false">IFERROR(IF(G780="","",M780/G780),"")</f>
        <v/>
      </c>
      <c r="O780" s="39"/>
      <c r="P780" s="39"/>
      <c r="Q780" s="39"/>
      <c r="R780" s="39"/>
      <c r="S780" s="48" t="n">
        <f aca="false">IFERROR(VLOOKUP(H780,Settings!B14:C25,2,FALSE()),0)</f>
        <v>0</v>
      </c>
    </row>
    <row r="781" customFormat="false" ht="15" hidden="false" customHeight="false" outlineLevel="0" collapsed="false">
      <c r="A781" s="41" t="str">
        <f aca="false">IF(B781="","",ROW()-3)</f>
        <v/>
      </c>
      <c r="B781" s="42"/>
      <c r="G781" s="44"/>
      <c r="I781" s="44" t="n">
        <f aca="false">IF(G781="",0,G781*S781)</f>
        <v>0</v>
      </c>
      <c r="J781" s="44"/>
      <c r="K781" s="44" t="n">
        <f aca="false">IF(G781="",0,G781-I781-IF(J781="",0,J781))</f>
        <v>0</v>
      </c>
      <c r="L781" s="44" t="n">
        <f aca="false">IF(O781="",0,IFERROR(INDEX(Purchases!I:I,MATCH(O781*1,Purchases!A:A,0)),0))</f>
        <v>0</v>
      </c>
      <c r="M781" s="44" t="n">
        <f aca="false">IF(G781="",0,K781-L781)</f>
        <v>0</v>
      </c>
      <c r="N781" s="49" t="str">
        <f aca="false">IFERROR(IF(G781="","",M781/G781),"")</f>
        <v/>
      </c>
      <c r="S781" s="49" t="n">
        <f aca="false">IFERROR(VLOOKUP(H781,Settings!B14:C25,2,FALSE()),0)</f>
        <v>0</v>
      </c>
    </row>
    <row r="782" customFormat="false" ht="15" hidden="false" customHeight="false" outlineLevel="0" collapsed="false">
      <c r="A782" s="37" t="str">
        <f aca="false">IF(B782="","",ROW()-3)</f>
        <v/>
      </c>
      <c r="B782" s="38"/>
      <c r="C782" s="39"/>
      <c r="D782" s="39"/>
      <c r="E782" s="39"/>
      <c r="F782" s="39"/>
      <c r="G782" s="40"/>
      <c r="H782" s="39"/>
      <c r="I782" s="40" t="n">
        <f aca="false">IF(G782="",0,G782*S782)</f>
        <v>0</v>
      </c>
      <c r="J782" s="40"/>
      <c r="K782" s="40" t="n">
        <f aca="false">IF(G782="",0,G782-I782-IF(J782="",0,J782))</f>
        <v>0</v>
      </c>
      <c r="L782" s="40" t="n">
        <f aca="false">IF(O782="",0,IFERROR(INDEX(Purchases!I:I,MATCH(O782*1,Purchases!A:A,0)),0))</f>
        <v>0</v>
      </c>
      <c r="M782" s="40" t="n">
        <f aca="false">IF(G782="",0,K782-L782)</f>
        <v>0</v>
      </c>
      <c r="N782" s="48" t="str">
        <f aca="false">IFERROR(IF(G782="","",M782/G782),"")</f>
        <v/>
      </c>
      <c r="O782" s="39"/>
      <c r="P782" s="39"/>
      <c r="Q782" s="39"/>
      <c r="R782" s="39"/>
      <c r="S782" s="48" t="n">
        <f aca="false">IFERROR(VLOOKUP(H782,Settings!B14:C25,2,FALSE()),0)</f>
        <v>0</v>
      </c>
    </row>
    <row r="783" customFormat="false" ht="15" hidden="false" customHeight="false" outlineLevel="0" collapsed="false">
      <c r="A783" s="41" t="str">
        <f aca="false">IF(B783="","",ROW()-3)</f>
        <v/>
      </c>
      <c r="B783" s="42"/>
      <c r="G783" s="44"/>
      <c r="I783" s="44" t="n">
        <f aca="false">IF(G783="",0,G783*S783)</f>
        <v>0</v>
      </c>
      <c r="J783" s="44"/>
      <c r="K783" s="44" t="n">
        <f aca="false">IF(G783="",0,G783-I783-IF(J783="",0,J783))</f>
        <v>0</v>
      </c>
      <c r="L783" s="44" t="n">
        <f aca="false">IF(O783="",0,IFERROR(INDEX(Purchases!I:I,MATCH(O783*1,Purchases!A:A,0)),0))</f>
        <v>0</v>
      </c>
      <c r="M783" s="44" t="n">
        <f aca="false">IF(G783="",0,K783-L783)</f>
        <v>0</v>
      </c>
      <c r="N783" s="49" t="str">
        <f aca="false">IFERROR(IF(G783="","",M783/G783),"")</f>
        <v/>
      </c>
      <c r="S783" s="49" t="n">
        <f aca="false">IFERROR(VLOOKUP(H783,Settings!B14:C25,2,FALSE()),0)</f>
        <v>0</v>
      </c>
    </row>
    <row r="784" customFormat="false" ht="15" hidden="false" customHeight="false" outlineLevel="0" collapsed="false">
      <c r="A784" s="37" t="str">
        <f aca="false">IF(B784="","",ROW()-3)</f>
        <v/>
      </c>
      <c r="B784" s="38"/>
      <c r="C784" s="39"/>
      <c r="D784" s="39"/>
      <c r="E784" s="39"/>
      <c r="F784" s="39"/>
      <c r="G784" s="40"/>
      <c r="H784" s="39"/>
      <c r="I784" s="40" t="n">
        <f aca="false">IF(G784="",0,G784*S784)</f>
        <v>0</v>
      </c>
      <c r="J784" s="40"/>
      <c r="K784" s="40" t="n">
        <f aca="false">IF(G784="",0,G784-I784-IF(J784="",0,J784))</f>
        <v>0</v>
      </c>
      <c r="L784" s="40" t="n">
        <f aca="false">IF(O784="",0,IFERROR(INDEX(Purchases!I:I,MATCH(O784*1,Purchases!A:A,0)),0))</f>
        <v>0</v>
      </c>
      <c r="M784" s="40" t="n">
        <f aca="false">IF(G784="",0,K784-L784)</f>
        <v>0</v>
      </c>
      <c r="N784" s="48" t="str">
        <f aca="false">IFERROR(IF(G784="","",M784/G784),"")</f>
        <v/>
      </c>
      <c r="O784" s="39"/>
      <c r="P784" s="39"/>
      <c r="Q784" s="39"/>
      <c r="R784" s="39"/>
      <c r="S784" s="48" t="n">
        <f aca="false">IFERROR(VLOOKUP(H784,Settings!B14:C25,2,FALSE()),0)</f>
        <v>0</v>
      </c>
    </row>
    <row r="785" customFormat="false" ht="15" hidden="false" customHeight="false" outlineLevel="0" collapsed="false">
      <c r="A785" s="41" t="str">
        <f aca="false">IF(B785="","",ROW()-3)</f>
        <v/>
      </c>
      <c r="B785" s="42"/>
      <c r="G785" s="44"/>
      <c r="I785" s="44" t="n">
        <f aca="false">IF(G785="",0,G785*S785)</f>
        <v>0</v>
      </c>
      <c r="J785" s="44"/>
      <c r="K785" s="44" t="n">
        <f aca="false">IF(G785="",0,G785-I785-IF(J785="",0,J785))</f>
        <v>0</v>
      </c>
      <c r="L785" s="44" t="n">
        <f aca="false">IF(O785="",0,IFERROR(INDEX(Purchases!I:I,MATCH(O785*1,Purchases!A:A,0)),0))</f>
        <v>0</v>
      </c>
      <c r="M785" s="44" t="n">
        <f aca="false">IF(G785="",0,K785-L785)</f>
        <v>0</v>
      </c>
      <c r="N785" s="49" t="str">
        <f aca="false">IFERROR(IF(G785="","",M785/G785),"")</f>
        <v/>
      </c>
      <c r="S785" s="49" t="n">
        <f aca="false">IFERROR(VLOOKUP(H785,Settings!B14:C25,2,FALSE()),0)</f>
        <v>0</v>
      </c>
    </row>
    <row r="786" customFormat="false" ht="15" hidden="false" customHeight="false" outlineLevel="0" collapsed="false">
      <c r="A786" s="37" t="str">
        <f aca="false">IF(B786="","",ROW()-3)</f>
        <v/>
      </c>
      <c r="B786" s="38"/>
      <c r="C786" s="39"/>
      <c r="D786" s="39"/>
      <c r="E786" s="39"/>
      <c r="F786" s="39"/>
      <c r="G786" s="40"/>
      <c r="H786" s="39"/>
      <c r="I786" s="40" t="n">
        <f aca="false">IF(G786="",0,G786*S786)</f>
        <v>0</v>
      </c>
      <c r="J786" s="40"/>
      <c r="K786" s="40" t="n">
        <f aca="false">IF(G786="",0,G786-I786-IF(J786="",0,J786))</f>
        <v>0</v>
      </c>
      <c r="L786" s="40" t="n">
        <f aca="false">IF(O786="",0,IFERROR(INDEX(Purchases!I:I,MATCH(O786*1,Purchases!A:A,0)),0))</f>
        <v>0</v>
      </c>
      <c r="M786" s="40" t="n">
        <f aca="false">IF(G786="",0,K786-L786)</f>
        <v>0</v>
      </c>
      <c r="N786" s="48" t="str">
        <f aca="false">IFERROR(IF(G786="","",M786/G786),"")</f>
        <v/>
      </c>
      <c r="O786" s="39"/>
      <c r="P786" s="39"/>
      <c r="Q786" s="39"/>
      <c r="R786" s="39"/>
      <c r="S786" s="48" t="n">
        <f aca="false">IFERROR(VLOOKUP(H786,Settings!B14:C25,2,FALSE()),0)</f>
        <v>0</v>
      </c>
    </row>
    <row r="787" customFormat="false" ht="15" hidden="false" customHeight="false" outlineLevel="0" collapsed="false">
      <c r="A787" s="41" t="str">
        <f aca="false">IF(B787="","",ROW()-3)</f>
        <v/>
      </c>
      <c r="B787" s="42"/>
      <c r="G787" s="44"/>
      <c r="I787" s="44" t="n">
        <f aca="false">IF(G787="",0,G787*S787)</f>
        <v>0</v>
      </c>
      <c r="J787" s="44"/>
      <c r="K787" s="44" t="n">
        <f aca="false">IF(G787="",0,G787-I787-IF(J787="",0,J787))</f>
        <v>0</v>
      </c>
      <c r="L787" s="44" t="n">
        <f aca="false">IF(O787="",0,IFERROR(INDEX(Purchases!I:I,MATCH(O787*1,Purchases!A:A,0)),0))</f>
        <v>0</v>
      </c>
      <c r="M787" s="44" t="n">
        <f aca="false">IF(G787="",0,K787-L787)</f>
        <v>0</v>
      </c>
      <c r="N787" s="49" t="str">
        <f aca="false">IFERROR(IF(G787="","",M787/G787),"")</f>
        <v/>
      </c>
      <c r="S787" s="49" t="n">
        <f aca="false">IFERROR(VLOOKUP(H787,Settings!B14:C25,2,FALSE()),0)</f>
        <v>0</v>
      </c>
    </row>
    <row r="788" customFormat="false" ht="15" hidden="false" customHeight="false" outlineLevel="0" collapsed="false">
      <c r="A788" s="37" t="str">
        <f aca="false">IF(B788="","",ROW()-3)</f>
        <v/>
      </c>
      <c r="B788" s="38"/>
      <c r="C788" s="39"/>
      <c r="D788" s="39"/>
      <c r="E788" s="39"/>
      <c r="F788" s="39"/>
      <c r="G788" s="40"/>
      <c r="H788" s="39"/>
      <c r="I788" s="40" t="n">
        <f aca="false">IF(G788="",0,G788*S788)</f>
        <v>0</v>
      </c>
      <c r="J788" s="40"/>
      <c r="K788" s="40" t="n">
        <f aca="false">IF(G788="",0,G788-I788-IF(J788="",0,J788))</f>
        <v>0</v>
      </c>
      <c r="L788" s="40" t="n">
        <f aca="false">IF(O788="",0,IFERROR(INDEX(Purchases!I:I,MATCH(O788*1,Purchases!A:A,0)),0))</f>
        <v>0</v>
      </c>
      <c r="M788" s="40" t="n">
        <f aca="false">IF(G788="",0,K788-L788)</f>
        <v>0</v>
      </c>
      <c r="N788" s="48" t="str">
        <f aca="false">IFERROR(IF(G788="","",M788/G788),"")</f>
        <v/>
      </c>
      <c r="O788" s="39"/>
      <c r="P788" s="39"/>
      <c r="Q788" s="39"/>
      <c r="R788" s="39"/>
      <c r="S788" s="48" t="n">
        <f aca="false">IFERROR(VLOOKUP(H788,Settings!B14:C25,2,FALSE()),0)</f>
        <v>0</v>
      </c>
    </row>
    <row r="789" customFormat="false" ht="15" hidden="false" customHeight="false" outlineLevel="0" collapsed="false">
      <c r="A789" s="41" t="str">
        <f aca="false">IF(B789="","",ROW()-3)</f>
        <v/>
      </c>
      <c r="B789" s="42"/>
      <c r="G789" s="44"/>
      <c r="I789" s="44" t="n">
        <f aca="false">IF(G789="",0,G789*S789)</f>
        <v>0</v>
      </c>
      <c r="J789" s="44"/>
      <c r="K789" s="44" t="n">
        <f aca="false">IF(G789="",0,G789-I789-IF(J789="",0,J789))</f>
        <v>0</v>
      </c>
      <c r="L789" s="44" t="n">
        <f aca="false">IF(O789="",0,IFERROR(INDEX(Purchases!I:I,MATCH(O789*1,Purchases!A:A,0)),0))</f>
        <v>0</v>
      </c>
      <c r="M789" s="44" t="n">
        <f aca="false">IF(G789="",0,K789-L789)</f>
        <v>0</v>
      </c>
      <c r="N789" s="49" t="str">
        <f aca="false">IFERROR(IF(G789="","",M789/G789),"")</f>
        <v/>
      </c>
      <c r="S789" s="49" t="n">
        <f aca="false">IFERROR(VLOOKUP(H789,Settings!B14:C25,2,FALSE()),0)</f>
        <v>0</v>
      </c>
    </row>
    <row r="790" customFormat="false" ht="15" hidden="false" customHeight="false" outlineLevel="0" collapsed="false">
      <c r="A790" s="37" t="str">
        <f aca="false">IF(B790="","",ROW()-3)</f>
        <v/>
      </c>
      <c r="B790" s="38"/>
      <c r="C790" s="39"/>
      <c r="D790" s="39"/>
      <c r="E790" s="39"/>
      <c r="F790" s="39"/>
      <c r="G790" s="40"/>
      <c r="H790" s="39"/>
      <c r="I790" s="40" t="n">
        <f aca="false">IF(G790="",0,G790*S790)</f>
        <v>0</v>
      </c>
      <c r="J790" s="40"/>
      <c r="K790" s="40" t="n">
        <f aca="false">IF(G790="",0,G790-I790-IF(J790="",0,J790))</f>
        <v>0</v>
      </c>
      <c r="L790" s="40" t="n">
        <f aca="false">IF(O790="",0,IFERROR(INDEX(Purchases!I:I,MATCH(O790*1,Purchases!A:A,0)),0))</f>
        <v>0</v>
      </c>
      <c r="M790" s="40" t="n">
        <f aca="false">IF(G790="",0,K790-L790)</f>
        <v>0</v>
      </c>
      <c r="N790" s="48" t="str">
        <f aca="false">IFERROR(IF(G790="","",M790/G790),"")</f>
        <v/>
      </c>
      <c r="O790" s="39"/>
      <c r="P790" s="39"/>
      <c r="Q790" s="39"/>
      <c r="R790" s="39"/>
      <c r="S790" s="48" t="n">
        <f aca="false">IFERROR(VLOOKUP(H790,Settings!B14:C25,2,FALSE()),0)</f>
        <v>0</v>
      </c>
    </row>
    <row r="791" customFormat="false" ht="15" hidden="false" customHeight="false" outlineLevel="0" collapsed="false">
      <c r="A791" s="41" t="str">
        <f aca="false">IF(B791="","",ROW()-3)</f>
        <v/>
      </c>
      <c r="B791" s="42"/>
      <c r="G791" s="44"/>
      <c r="I791" s="44" t="n">
        <f aca="false">IF(G791="",0,G791*S791)</f>
        <v>0</v>
      </c>
      <c r="J791" s="44"/>
      <c r="K791" s="44" t="n">
        <f aca="false">IF(G791="",0,G791-I791-IF(J791="",0,J791))</f>
        <v>0</v>
      </c>
      <c r="L791" s="44" t="n">
        <f aca="false">IF(O791="",0,IFERROR(INDEX(Purchases!I:I,MATCH(O791*1,Purchases!A:A,0)),0))</f>
        <v>0</v>
      </c>
      <c r="M791" s="44" t="n">
        <f aca="false">IF(G791="",0,K791-L791)</f>
        <v>0</v>
      </c>
      <c r="N791" s="49" t="str">
        <f aca="false">IFERROR(IF(G791="","",M791/G791),"")</f>
        <v/>
      </c>
      <c r="S791" s="49" t="n">
        <f aca="false">IFERROR(VLOOKUP(H791,Settings!B14:C25,2,FALSE()),0)</f>
        <v>0</v>
      </c>
    </row>
    <row r="792" customFormat="false" ht="15" hidden="false" customHeight="false" outlineLevel="0" collapsed="false">
      <c r="A792" s="37" t="str">
        <f aca="false">IF(B792="","",ROW()-3)</f>
        <v/>
      </c>
      <c r="B792" s="38"/>
      <c r="C792" s="39"/>
      <c r="D792" s="39"/>
      <c r="E792" s="39"/>
      <c r="F792" s="39"/>
      <c r="G792" s="40"/>
      <c r="H792" s="39"/>
      <c r="I792" s="40" t="n">
        <f aca="false">IF(G792="",0,G792*S792)</f>
        <v>0</v>
      </c>
      <c r="J792" s="40"/>
      <c r="K792" s="40" t="n">
        <f aca="false">IF(G792="",0,G792-I792-IF(J792="",0,J792))</f>
        <v>0</v>
      </c>
      <c r="L792" s="40" t="n">
        <f aca="false">IF(O792="",0,IFERROR(INDEX(Purchases!I:I,MATCH(O792*1,Purchases!A:A,0)),0))</f>
        <v>0</v>
      </c>
      <c r="M792" s="40" t="n">
        <f aca="false">IF(G792="",0,K792-L792)</f>
        <v>0</v>
      </c>
      <c r="N792" s="48" t="str">
        <f aca="false">IFERROR(IF(G792="","",M792/G792),"")</f>
        <v/>
      </c>
      <c r="O792" s="39"/>
      <c r="P792" s="39"/>
      <c r="Q792" s="39"/>
      <c r="R792" s="39"/>
      <c r="S792" s="48" t="n">
        <f aca="false">IFERROR(VLOOKUP(H792,Settings!B14:C25,2,FALSE()),0)</f>
        <v>0</v>
      </c>
    </row>
    <row r="793" customFormat="false" ht="15" hidden="false" customHeight="false" outlineLevel="0" collapsed="false">
      <c r="A793" s="41" t="str">
        <f aca="false">IF(B793="","",ROW()-3)</f>
        <v/>
      </c>
      <c r="B793" s="42"/>
      <c r="G793" s="44"/>
      <c r="I793" s="44" t="n">
        <f aca="false">IF(G793="",0,G793*S793)</f>
        <v>0</v>
      </c>
      <c r="J793" s="44"/>
      <c r="K793" s="44" t="n">
        <f aca="false">IF(G793="",0,G793-I793-IF(J793="",0,J793))</f>
        <v>0</v>
      </c>
      <c r="L793" s="44" t="n">
        <f aca="false">IF(O793="",0,IFERROR(INDEX(Purchases!I:I,MATCH(O793*1,Purchases!A:A,0)),0))</f>
        <v>0</v>
      </c>
      <c r="M793" s="44" t="n">
        <f aca="false">IF(G793="",0,K793-L793)</f>
        <v>0</v>
      </c>
      <c r="N793" s="49" t="str">
        <f aca="false">IFERROR(IF(G793="","",M793/G793),"")</f>
        <v/>
      </c>
      <c r="S793" s="49" t="n">
        <f aca="false">IFERROR(VLOOKUP(H793,Settings!B14:C25,2,FALSE()),0)</f>
        <v>0</v>
      </c>
    </row>
    <row r="794" customFormat="false" ht="15" hidden="false" customHeight="false" outlineLevel="0" collapsed="false">
      <c r="A794" s="37" t="str">
        <f aca="false">IF(B794="","",ROW()-3)</f>
        <v/>
      </c>
      <c r="B794" s="38"/>
      <c r="C794" s="39"/>
      <c r="D794" s="39"/>
      <c r="E794" s="39"/>
      <c r="F794" s="39"/>
      <c r="G794" s="40"/>
      <c r="H794" s="39"/>
      <c r="I794" s="40" t="n">
        <f aca="false">IF(G794="",0,G794*S794)</f>
        <v>0</v>
      </c>
      <c r="J794" s="40"/>
      <c r="K794" s="40" t="n">
        <f aca="false">IF(G794="",0,G794-I794-IF(J794="",0,J794))</f>
        <v>0</v>
      </c>
      <c r="L794" s="40" t="n">
        <f aca="false">IF(O794="",0,IFERROR(INDEX(Purchases!I:I,MATCH(O794*1,Purchases!A:A,0)),0))</f>
        <v>0</v>
      </c>
      <c r="M794" s="40" t="n">
        <f aca="false">IF(G794="",0,K794-L794)</f>
        <v>0</v>
      </c>
      <c r="N794" s="48" t="str">
        <f aca="false">IFERROR(IF(G794="","",M794/G794),"")</f>
        <v/>
      </c>
      <c r="O794" s="39"/>
      <c r="P794" s="39"/>
      <c r="Q794" s="39"/>
      <c r="R794" s="39"/>
      <c r="S794" s="48" t="n">
        <f aca="false">IFERROR(VLOOKUP(H794,Settings!B14:C25,2,FALSE()),0)</f>
        <v>0</v>
      </c>
    </row>
    <row r="795" customFormat="false" ht="15" hidden="false" customHeight="false" outlineLevel="0" collapsed="false">
      <c r="A795" s="41" t="str">
        <f aca="false">IF(B795="","",ROW()-3)</f>
        <v/>
      </c>
      <c r="B795" s="42"/>
      <c r="G795" s="44"/>
      <c r="I795" s="44" t="n">
        <f aca="false">IF(G795="",0,G795*S795)</f>
        <v>0</v>
      </c>
      <c r="J795" s="44"/>
      <c r="K795" s="44" t="n">
        <f aca="false">IF(G795="",0,G795-I795-IF(J795="",0,J795))</f>
        <v>0</v>
      </c>
      <c r="L795" s="44" t="n">
        <f aca="false">IF(O795="",0,IFERROR(INDEX(Purchases!I:I,MATCH(O795*1,Purchases!A:A,0)),0))</f>
        <v>0</v>
      </c>
      <c r="M795" s="44" t="n">
        <f aca="false">IF(G795="",0,K795-L795)</f>
        <v>0</v>
      </c>
      <c r="N795" s="49" t="str">
        <f aca="false">IFERROR(IF(G795="","",M795/G795),"")</f>
        <v/>
      </c>
      <c r="S795" s="49" t="n">
        <f aca="false">IFERROR(VLOOKUP(H795,Settings!B14:C25,2,FALSE()),0)</f>
        <v>0</v>
      </c>
    </row>
    <row r="796" customFormat="false" ht="15" hidden="false" customHeight="false" outlineLevel="0" collapsed="false">
      <c r="A796" s="37" t="str">
        <f aca="false">IF(B796="","",ROW()-3)</f>
        <v/>
      </c>
      <c r="B796" s="38"/>
      <c r="C796" s="39"/>
      <c r="D796" s="39"/>
      <c r="E796" s="39"/>
      <c r="F796" s="39"/>
      <c r="G796" s="40"/>
      <c r="H796" s="39"/>
      <c r="I796" s="40" t="n">
        <f aca="false">IF(G796="",0,G796*S796)</f>
        <v>0</v>
      </c>
      <c r="J796" s="40"/>
      <c r="K796" s="40" t="n">
        <f aca="false">IF(G796="",0,G796-I796-IF(J796="",0,J796))</f>
        <v>0</v>
      </c>
      <c r="L796" s="40" t="n">
        <f aca="false">IF(O796="",0,IFERROR(INDEX(Purchases!I:I,MATCH(O796*1,Purchases!A:A,0)),0))</f>
        <v>0</v>
      </c>
      <c r="M796" s="40" t="n">
        <f aca="false">IF(G796="",0,K796-L796)</f>
        <v>0</v>
      </c>
      <c r="N796" s="48" t="str">
        <f aca="false">IFERROR(IF(G796="","",M796/G796),"")</f>
        <v/>
      </c>
      <c r="O796" s="39"/>
      <c r="P796" s="39"/>
      <c r="Q796" s="39"/>
      <c r="R796" s="39"/>
      <c r="S796" s="48" t="n">
        <f aca="false">IFERROR(VLOOKUP(H796,Settings!B14:C25,2,FALSE()),0)</f>
        <v>0</v>
      </c>
    </row>
    <row r="797" customFormat="false" ht="15" hidden="false" customHeight="false" outlineLevel="0" collapsed="false">
      <c r="A797" s="41" t="str">
        <f aca="false">IF(B797="","",ROW()-3)</f>
        <v/>
      </c>
      <c r="B797" s="42"/>
      <c r="G797" s="44"/>
      <c r="I797" s="44" t="n">
        <f aca="false">IF(G797="",0,G797*S797)</f>
        <v>0</v>
      </c>
      <c r="J797" s="44"/>
      <c r="K797" s="44" t="n">
        <f aca="false">IF(G797="",0,G797-I797-IF(J797="",0,J797))</f>
        <v>0</v>
      </c>
      <c r="L797" s="44" t="n">
        <f aca="false">IF(O797="",0,IFERROR(INDEX(Purchases!I:I,MATCH(O797*1,Purchases!A:A,0)),0))</f>
        <v>0</v>
      </c>
      <c r="M797" s="44" t="n">
        <f aca="false">IF(G797="",0,K797-L797)</f>
        <v>0</v>
      </c>
      <c r="N797" s="49" t="str">
        <f aca="false">IFERROR(IF(G797="","",M797/G797),"")</f>
        <v/>
      </c>
      <c r="S797" s="49" t="n">
        <f aca="false">IFERROR(VLOOKUP(H797,Settings!B14:C25,2,FALSE()),0)</f>
        <v>0</v>
      </c>
    </row>
    <row r="798" customFormat="false" ht="15" hidden="false" customHeight="false" outlineLevel="0" collapsed="false">
      <c r="A798" s="37" t="str">
        <f aca="false">IF(B798="","",ROW()-3)</f>
        <v/>
      </c>
      <c r="B798" s="38"/>
      <c r="C798" s="39"/>
      <c r="D798" s="39"/>
      <c r="E798" s="39"/>
      <c r="F798" s="39"/>
      <c r="G798" s="40"/>
      <c r="H798" s="39"/>
      <c r="I798" s="40" t="n">
        <f aca="false">IF(G798="",0,G798*S798)</f>
        <v>0</v>
      </c>
      <c r="J798" s="40"/>
      <c r="K798" s="40" t="n">
        <f aca="false">IF(G798="",0,G798-I798-IF(J798="",0,J798))</f>
        <v>0</v>
      </c>
      <c r="L798" s="40" t="n">
        <f aca="false">IF(O798="",0,IFERROR(INDEX(Purchases!I:I,MATCH(O798*1,Purchases!A:A,0)),0))</f>
        <v>0</v>
      </c>
      <c r="M798" s="40" t="n">
        <f aca="false">IF(G798="",0,K798-L798)</f>
        <v>0</v>
      </c>
      <c r="N798" s="48" t="str">
        <f aca="false">IFERROR(IF(G798="","",M798/G798),"")</f>
        <v/>
      </c>
      <c r="O798" s="39"/>
      <c r="P798" s="39"/>
      <c r="Q798" s="39"/>
      <c r="R798" s="39"/>
      <c r="S798" s="48" t="n">
        <f aca="false">IFERROR(VLOOKUP(H798,Settings!B14:C25,2,FALSE()),0)</f>
        <v>0</v>
      </c>
    </row>
    <row r="799" customFormat="false" ht="15" hidden="false" customHeight="false" outlineLevel="0" collapsed="false">
      <c r="A799" s="41" t="str">
        <f aca="false">IF(B799="","",ROW()-3)</f>
        <v/>
      </c>
      <c r="B799" s="42"/>
      <c r="G799" s="44"/>
      <c r="I799" s="44" t="n">
        <f aca="false">IF(G799="",0,G799*S799)</f>
        <v>0</v>
      </c>
      <c r="J799" s="44"/>
      <c r="K799" s="44" t="n">
        <f aca="false">IF(G799="",0,G799-I799-IF(J799="",0,J799))</f>
        <v>0</v>
      </c>
      <c r="L799" s="44" t="n">
        <f aca="false">IF(O799="",0,IFERROR(INDEX(Purchases!I:I,MATCH(O799*1,Purchases!A:A,0)),0))</f>
        <v>0</v>
      </c>
      <c r="M799" s="44" t="n">
        <f aca="false">IF(G799="",0,K799-L799)</f>
        <v>0</v>
      </c>
      <c r="N799" s="49" t="str">
        <f aca="false">IFERROR(IF(G799="","",M799/G799),"")</f>
        <v/>
      </c>
      <c r="S799" s="49" t="n">
        <f aca="false">IFERROR(VLOOKUP(H799,Settings!B14:C25,2,FALSE()),0)</f>
        <v>0</v>
      </c>
    </row>
    <row r="800" customFormat="false" ht="15" hidden="false" customHeight="false" outlineLevel="0" collapsed="false">
      <c r="A800" s="37" t="str">
        <f aca="false">IF(B800="","",ROW()-3)</f>
        <v/>
      </c>
      <c r="B800" s="38"/>
      <c r="C800" s="39"/>
      <c r="D800" s="39"/>
      <c r="E800" s="39"/>
      <c r="F800" s="39"/>
      <c r="G800" s="40"/>
      <c r="H800" s="39"/>
      <c r="I800" s="40" t="n">
        <f aca="false">IF(G800="",0,G800*S800)</f>
        <v>0</v>
      </c>
      <c r="J800" s="40"/>
      <c r="K800" s="40" t="n">
        <f aca="false">IF(G800="",0,G800-I800-IF(J800="",0,J800))</f>
        <v>0</v>
      </c>
      <c r="L800" s="40" t="n">
        <f aca="false">IF(O800="",0,IFERROR(INDEX(Purchases!I:I,MATCH(O800*1,Purchases!A:A,0)),0))</f>
        <v>0</v>
      </c>
      <c r="M800" s="40" t="n">
        <f aca="false">IF(G800="",0,K800-L800)</f>
        <v>0</v>
      </c>
      <c r="N800" s="48" t="str">
        <f aca="false">IFERROR(IF(G800="","",M800/G800),"")</f>
        <v/>
      </c>
      <c r="O800" s="39"/>
      <c r="P800" s="39"/>
      <c r="Q800" s="39"/>
      <c r="R800" s="39"/>
      <c r="S800" s="48" t="n">
        <f aca="false">IFERROR(VLOOKUP(H800,Settings!B14:C25,2,FALSE()),0)</f>
        <v>0</v>
      </c>
    </row>
    <row r="801" customFormat="false" ht="15" hidden="false" customHeight="false" outlineLevel="0" collapsed="false">
      <c r="A801" s="41" t="str">
        <f aca="false">IF(B801="","",ROW()-3)</f>
        <v/>
      </c>
      <c r="B801" s="42"/>
      <c r="G801" s="44"/>
      <c r="I801" s="44" t="n">
        <f aca="false">IF(G801="",0,G801*S801)</f>
        <v>0</v>
      </c>
      <c r="J801" s="44"/>
      <c r="K801" s="44" t="n">
        <f aca="false">IF(G801="",0,G801-I801-IF(J801="",0,J801))</f>
        <v>0</v>
      </c>
      <c r="L801" s="44" t="n">
        <f aca="false">IF(O801="",0,IFERROR(INDEX(Purchases!I:I,MATCH(O801*1,Purchases!A:A,0)),0))</f>
        <v>0</v>
      </c>
      <c r="M801" s="44" t="n">
        <f aca="false">IF(G801="",0,K801-L801)</f>
        <v>0</v>
      </c>
      <c r="N801" s="49" t="str">
        <f aca="false">IFERROR(IF(G801="","",M801/G801),"")</f>
        <v/>
      </c>
      <c r="S801" s="49" t="n">
        <f aca="false">IFERROR(VLOOKUP(H801,Settings!B14:C25,2,FALSE()),0)</f>
        <v>0</v>
      </c>
    </row>
    <row r="802" customFormat="false" ht="15" hidden="false" customHeight="false" outlineLevel="0" collapsed="false">
      <c r="A802" s="37" t="str">
        <f aca="false">IF(B802="","",ROW()-3)</f>
        <v/>
      </c>
      <c r="B802" s="38"/>
      <c r="C802" s="39"/>
      <c r="D802" s="39"/>
      <c r="E802" s="39"/>
      <c r="F802" s="39"/>
      <c r="G802" s="40"/>
      <c r="H802" s="39"/>
      <c r="I802" s="40" t="n">
        <f aca="false">IF(G802="",0,G802*S802)</f>
        <v>0</v>
      </c>
      <c r="J802" s="40"/>
      <c r="K802" s="40" t="n">
        <f aca="false">IF(G802="",0,G802-I802-IF(J802="",0,J802))</f>
        <v>0</v>
      </c>
      <c r="L802" s="40" t="n">
        <f aca="false">IF(O802="",0,IFERROR(INDEX(Purchases!I:I,MATCH(O802*1,Purchases!A:A,0)),0))</f>
        <v>0</v>
      </c>
      <c r="M802" s="40" t="n">
        <f aca="false">IF(G802="",0,K802-L802)</f>
        <v>0</v>
      </c>
      <c r="N802" s="48" t="str">
        <f aca="false">IFERROR(IF(G802="","",M802/G802),"")</f>
        <v/>
      </c>
      <c r="O802" s="39"/>
      <c r="P802" s="39"/>
      <c r="Q802" s="39"/>
      <c r="R802" s="39"/>
      <c r="S802" s="48" t="n">
        <f aca="false">IFERROR(VLOOKUP(H802,Settings!B14:C25,2,FALSE()),0)</f>
        <v>0</v>
      </c>
    </row>
    <row r="803" customFormat="false" ht="15" hidden="false" customHeight="false" outlineLevel="0" collapsed="false">
      <c r="A803" s="41" t="str">
        <f aca="false">IF(B803="","",ROW()-3)</f>
        <v/>
      </c>
      <c r="B803" s="42"/>
      <c r="G803" s="44"/>
      <c r="I803" s="44" t="n">
        <f aca="false">IF(G803="",0,G803*S803)</f>
        <v>0</v>
      </c>
      <c r="J803" s="44"/>
      <c r="K803" s="44" t="n">
        <f aca="false">IF(G803="",0,G803-I803-IF(J803="",0,J803))</f>
        <v>0</v>
      </c>
      <c r="L803" s="44" t="n">
        <f aca="false">IF(O803="",0,IFERROR(INDEX(Purchases!I:I,MATCH(O803*1,Purchases!A:A,0)),0))</f>
        <v>0</v>
      </c>
      <c r="M803" s="44" t="n">
        <f aca="false">IF(G803="",0,K803-L803)</f>
        <v>0</v>
      </c>
      <c r="N803" s="49" t="str">
        <f aca="false">IFERROR(IF(G803="","",M803/G803),"")</f>
        <v/>
      </c>
      <c r="S803" s="49" t="n">
        <f aca="false">IFERROR(VLOOKUP(H803,Settings!B14:C25,2,FALSE()),0)</f>
        <v>0</v>
      </c>
    </row>
    <row r="804" customFormat="false" ht="15" hidden="false" customHeight="false" outlineLevel="0" collapsed="false">
      <c r="A804" s="37" t="str">
        <f aca="false">IF(B804="","",ROW()-3)</f>
        <v/>
      </c>
      <c r="B804" s="38"/>
      <c r="C804" s="39"/>
      <c r="D804" s="39"/>
      <c r="E804" s="39"/>
      <c r="F804" s="39"/>
      <c r="G804" s="40"/>
      <c r="H804" s="39"/>
      <c r="I804" s="40" t="n">
        <f aca="false">IF(G804="",0,G804*S804)</f>
        <v>0</v>
      </c>
      <c r="J804" s="40"/>
      <c r="K804" s="40" t="n">
        <f aca="false">IF(G804="",0,G804-I804-IF(J804="",0,J804))</f>
        <v>0</v>
      </c>
      <c r="L804" s="40" t="n">
        <f aca="false">IF(O804="",0,IFERROR(INDEX(Purchases!I:I,MATCH(O804*1,Purchases!A:A,0)),0))</f>
        <v>0</v>
      </c>
      <c r="M804" s="40" t="n">
        <f aca="false">IF(G804="",0,K804-L804)</f>
        <v>0</v>
      </c>
      <c r="N804" s="48" t="str">
        <f aca="false">IFERROR(IF(G804="","",M804/G804),"")</f>
        <v/>
      </c>
      <c r="O804" s="39"/>
      <c r="P804" s="39"/>
      <c r="Q804" s="39"/>
      <c r="R804" s="39"/>
      <c r="S804" s="48" t="n">
        <f aca="false">IFERROR(VLOOKUP(H804,Settings!B14:C25,2,FALSE()),0)</f>
        <v>0</v>
      </c>
    </row>
    <row r="805" customFormat="false" ht="15" hidden="false" customHeight="false" outlineLevel="0" collapsed="false">
      <c r="A805" s="41" t="str">
        <f aca="false">IF(B805="","",ROW()-3)</f>
        <v/>
      </c>
      <c r="B805" s="42"/>
      <c r="G805" s="44"/>
      <c r="I805" s="44" t="n">
        <f aca="false">IF(G805="",0,G805*S805)</f>
        <v>0</v>
      </c>
      <c r="J805" s="44"/>
      <c r="K805" s="44" t="n">
        <f aca="false">IF(G805="",0,G805-I805-IF(J805="",0,J805))</f>
        <v>0</v>
      </c>
      <c r="L805" s="44" t="n">
        <f aca="false">IF(O805="",0,IFERROR(INDEX(Purchases!I:I,MATCH(O805*1,Purchases!A:A,0)),0))</f>
        <v>0</v>
      </c>
      <c r="M805" s="44" t="n">
        <f aca="false">IF(G805="",0,K805-L805)</f>
        <v>0</v>
      </c>
      <c r="N805" s="49" t="str">
        <f aca="false">IFERROR(IF(G805="","",M805/G805),"")</f>
        <v/>
      </c>
      <c r="S805" s="49" t="n">
        <f aca="false">IFERROR(VLOOKUP(H805,Settings!B14:C25,2,FALSE()),0)</f>
        <v>0</v>
      </c>
    </row>
    <row r="806" customFormat="false" ht="15" hidden="false" customHeight="false" outlineLevel="0" collapsed="false">
      <c r="A806" s="37" t="str">
        <f aca="false">IF(B806="","",ROW()-3)</f>
        <v/>
      </c>
      <c r="B806" s="38"/>
      <c r="C806" s="39"/>
      <c r="D806" s="39"/>
      <c r="E806" s="39"/>
      <c r="F806" s="39"/>
      <c r="G806" s="40"/>
      <c r="H806" s="39"/>
      <c r="I806" s="40" t="n">
        <f aca="false">IF(G806="",0,G806*S806)</f>
        <v>0</v>
      </c>
      <c r="J806" s="40"/>
      <c r="K806" s="40" t="n">
        <f aca="false">IF(G806="",0,G806-I806-IF(J806="",0,J806))</f>
        <v>0</v>
      </c>
      <c r="L806" s="40" t="n">
        <f aca="false">IF(O806="",0,IFERROR(INDEX(Purchases!I:I,MATCH(O806*1,Purchases!A:A,0)),0))</f>
        <v>0</v>
      </c>
      <c r="M806" s="40" t="n">
        <f aca="false">IF(G806="",0,K806-L806)</f>
        <v>0</v>
      </c>
      <c r="N806" s="48" t="str">
        <f aca="false">IFERROR(IF(G806="","",M806/G806),"")</f>
        <v/>
      </c>
      <c r="O806" s="39"/>
      <c r="P806" s="39"/>
      <c r="Q806" s="39"/>
      <c r="R806" s="39"/>
      <c r="S806" s="48" t="n">
        <f aca="false">IFERROR(VLOOKUP(H806,Settings!B14:C25,2,FALSE()),0)</f>
        <v>0</v>
      </c>
    </row>
    <row r="807" customFormat="false" ht="15" hidden="false" customHeight="false" outlineLevel="0" collapsed="false">
      <c r="A807" s="41" t="str">
        <f aca="false">IF(B807="","",ROW()-3)</f>
        <v/>
      </c>
      <c r="B807" s="42"/>
      <c r="G807" s="44"/>
      <c r="I807" s="44" t="n">
        <f aca="false">IF(G807="",0,G807*S807)</f>
        <v>0</v>
      </c>
      <c r="J807" s="44"/>
      <c r="K807" s="44" t="n">
        <f aca="false">IF(G807="",0,G807-I807-IF(J807="",0,J807))</f>
        <v>0</v>
      </c>
      <c r="L807" s="44" t="n">
        <f aca="false">IF(O807="",0,IFERROR(INDEX(Purchases!I:I,MATCH(O807*1,Purchases!A:A,0)),0))</f>
        <v>0</v>
      </c>
      <c r="M807" s="44" t="n">
        <f aca="false">IF(G807="",0,K807-L807)</f>
        <v>0</v>
      </c>
      <c r="N807" s="49" t="str">
        <f aca="false">IFERROR(IF(G807="","",M807/G807),"")</f>
        <v/>
      </c>
      <c r="S807" s="49" t="n">
        <f aca="false">IFERROR(VLOOKUP(H807,Settings!B14:C25,2,FALSE()),0)</f>
        <v>0</v>
      </c>
    </row>
    <row r="808" customFormat="false" ht="15" hidden="false" customHeight="false" outlineLevel="0" collapsed="false">
      <c r="A808" s="37" t="str">
        <f aca="false">IF(B808="","",ROW()-3)</f>
        <v/>
      </c>
      <c r="B808" s="38"/>
      <c r="C808" s="39"/>
      <c r="D808" s="39"/>
      <c r="E808" s="39"/>
      <c r="F808" s="39"/>
      <c r="G808" s="40"/>
      <c r="H808" s="39"/>
      <c r="I808" s="40" t="n">
        <f aca="false">IF(G808="",0,G808*S808)</f>
        <v>0</v>
      </c>
      <c r="J808" s="40"/>
      <c r="K808" s="40" t="n">
        <f aca="false">IF(G808="",0,G808-I808-IF(J808="",0,J808))</f>
        <v>0</v>
      </c>
      <c r="L808" s="40" t="n">
        <f aca="false">IF(O808="",0,IFERROR(INDEX(Purchases!I:I,MATCH(O808*1,Purchases!A:A,0)),0))</f>
        <v>0</v>
      </c>
      <c r="M808" s="40" t="n">
        <f aca="false">IF(G808="",0,K808-L808)</f>
        <v>0</v>
      </c>
      <c r="N808" s="48" t="str">
        <f aca="false">IFERROR(IF(G808="","",M808/G808),"")</f>
        <v/>
      </c>
      <c r="O808" s="39"/>
      <c r="P808" s="39"/>
      <c r="Q808" s="39"/>
      <c r="R808" s="39"/>
      <c r="S808" s="48" t="n">
        <f aca="false">IFERROR(VLOOKUP(H808,Settings!B14:C25,2,FALSE()),0)</f>
        <v>0</v>
      </c>
    </row>
    <row r="809" customFormat="false" ht="15" hidden="false" customHeight="false" outlineLevel="0" collapsed="false">
      <c r="A809" s="41" t="str">
        <f aca="false">IF(B809="","",ROW()-3)</f>
        <v/>
      </c>
      <c r="B809" s="42"/>
      <c r="G809" s="44"/>
      <c r="I809" s="44" t="n">
        <f aca="false">IF(G809="",0,G809*S809)</f>
        <v>0</v>
      </c>
      <c r="J809" s="44"/>
      <c r="K809" s="44" t="n">
        <f aca="false">IF(G809="",0,G809-I809-IF(J809="",0,J809))</f>
        <v>0</v>
      </c>
      <c r="L809" s="44" t="n">
        <f aca="false">IF(O809="",0,IFERROR(INDEX(Purchases!I:I,MATCH(O809*1,Purchases!A:A,0)),0))</f>
        <v>0</v>
      </c>
      <c r="M809" s="44" t="n">
        <f aca="false">IF(G809="",0,K809-L809)</f>
        <v>0</v>
      </c>
      <c r="N809" s="49" t="str">
        <f aca="false">IFERROR(IF(G809="","",M809/G809),"")</f>
        <v/>
      </c>
      <c r="S809" s="49" t="n">
        <f aca="false">IFERROR(VLOOKUP(H809,Settings!B14:C25,2,FALSE()),0)</f>
        <v>0</v>
      </c>
    </row>
    <row r="810" customFormat="false" ht="15" hidden="false" customHeight="false" outlineLevel="0" collapsed="false">
      <c r="A810" s="37" t="str">
        <f aca="false">IF(B810="","",ROW()-3)</f>
        <v/>
      </c>
      <c r="B810" s="38"/>
      <c r="C810" s="39"/>
      <c r="D810" s="39"/>
      <c r="E810" s="39"/>
      <c r="F810" s="39"/>
      <c r="G810" s="40"/>
      <c r="H810" s="39"/>
      <c r="I810" s="40" t="n">
        <f aca="false">IF(G810="",0,G810*S810)</f>
        <v>0</v>
      </c>
      <c r="J810" s="40"/>
      <c r="K810" s="40" t="n">
        <f aca="false">IF(G810="",0,G810-I810-IF(J810="",0,J810))</f>
        <v>0</v>
      </c>
      <c r="L810" s="40" t="n">
        <f aca="false">IF(O810="",0,IFERROR(INDEX(Purchases!I:I,MATCH(O810*1,Purchases!A:A,0)),0))</f>
        <v>0</v>
      </c>
      <c r="M810" s="40" t="n">
        <f aca="false">IF(G810="",0,K810-L810)</f>
        <v>0</v>
      </c>
      <c r="N810" s="48" t="str">
        <f aca="false">IFERROR(IF(G810="","",M810/G810),"")</f>
        <v/>
      </c>
      <c r="O810" s="39"/>
      <c r="P810" s="39"/>
      <c r="Q810" s="39"/>
      <c r="R810" s="39"/>
      <c r="S810" s="48" t="n">
        <f aca="false">IFERROR(VLOOKUP(H810,Settings!B14:C25,2,FALSE()),0)</f>
        <v>0</v>
      </c>
    </row>
    <row r="811" customFormat="false" ht="15" hidden="false" customHeight="false" outlineLevel="0" collapsed="false">
      <c r="A811" s="41" t="str">
        <f aca="false">IF(B811="","",ROW()-3)</f>
        <v/>
      </c>
      <c r="B811" s="42"/>
      <c r="G811" s="44"/>
      <c r="I811" s="44" t="n">
        <f aca="false">IF(G811="",0,G811*S811)</f>
        <v>0</v>
      </c>
      <c r="J811" s="44"/>
      <c r="K811" s="44" t="n">
        <f aca="false">IF(G811="",0,G811-I811-IF(J811="",0,J811))</f>
        <v>0</v>
      </c>
      <c r="L811" s="44" t="n">
        <f aca="false">IF(O811="",0,IFERROR(INDEX(Purchases!I:I,MATCH(O811*1,Purchases!A:A,0)),0))</f>
        <v>0</v>
      </c>
      <c r="M811" s="44" t="n">
        <f aca="false">IF(G811="",0,K811-L811)</f>
        <v>0</v>
      </c>
      <c r="N811" s="49" t="str">
        <f aca="false">IFERROR(IF(G811="","",M811/G811),"")</f>
        <v/>
      </c>
      <c r="S811" s="49" t="n">
        <f aca="false">IFERROR(VLOOKUP(H811,Settings!B14:C25,2,FALSE()),0)</f>
        <v>0</v>
      </c>
    </row>
    <row r="812" customFormat="false" ht="15" hidden="false" customHeight="false" outlineLevel="0" collapsed="false">
      <c r="A812" s="37" t="str">
        <f aca="false">IF(B812="","",ROW()-3)</f>
        <v/>
      </c>
      <c r="B812" s="38"/>
      <c r="C812" s="39"/>
      <c r="D812" s="39"/>
      <c r="E812" s="39"/>
      <c r="F812" s="39"/>
      <c r="G812" s="40"/>
      <c r="H812" s="39"/>
      <c r="I812" s="40" t="n">
        <f aca="false">IF(G812="",0,G812*S812)</f>
        <v>0</v>
      </c>
      <c r="J812" s="40"/>
      <c r="K812" s="40" t="n">
        <f aca="false">IF(G812="",0,G812-I812-IF(J812="",0,J812))</f>
        <v>0</v>
      </c>
      <c r="L812" s="40" t="n">
        <f aca="false">IF(O812="",0,IFERROR(INDEX(Purchases!I:I,MATCH(O812*1,Purchases!A:A,0)),0))</f>
        <v>0</v>
      </c>
      <c r="M812" s="40" t="n">
        <f aca="false">IF(G812="",0,K812-L812)</f>
        <v>0</v>
      </c>
      <c r="N812" s="48" t="str">
        <f aca="false">IFERROR(IF(G812="","",M812/G812),"")</f>
        <v/>
      </c>
      <c r="O812" s="39"/>
      <c r="P812" s="39"/>
      <c r="Q812" s="39"/>
      <c r="R812" s="39"/>
      <c r="S812" s="48" t="n">
        <f aca="false">IFERROR(VLOOKUP(H812,Settings!B14:C25,2,FALSE()),0)</f>
        <v>0</v>
      </c>
    </row>
    <row r="813" customFormat="false" ht="15" hidden="false" customHeight="false" outlineLevel="0" collapsed="false">
      <c r="A813" s="41" t="str">
        <f aca="false">IF(B813="","",ROW()-3)</f>
        <v/>
      </c>
      <c r="B813" s="42"/>
      <c r="G813" s="44"/>
      <c r="I813" s="44" t="n">
        <f aca="false">IF(G813="",0,G813*S813)</f>
        <v>0</v>
      </c>
      <c r="J813" s="44"/>
      <c r="K813" s="44" t="n">
        <f aca="false">IF(G813="",0,G813-I813-IF(J813="",0,J813))</f>
        <v>0</v>
      </c>
      <c r="L813" s="44" t="n">
        <f aca="false">IF(O813="",0,IFERROR(INDEX(Purchases!I:I,MATCH(O813*1,Purchases!A:A,0)),0))</f>
        <v>0</v>
      </c>
      <c r="M813" s="44" t="n">
        <f aca="false">IF(G813="",0,K813-L813)</f>
        <v>0</v>
      </c>
      <c r="N813" s="49" t="str">
        <f aca="false">IFERROR(IF(G813="","",M813/G813),"")</f>
        <v/>
      </c>
      <c r="S813" s="49" t="n">
        <f aca="false">IFERROR(VLOOKUP(H813,Settings!B14:C25,2,FALSE()),0)</f>
        <v>0</v>
      </c>
    </row>
    <row r="814" customFormat="false" ht="15" hidden="false" customHeight="false" outlineLevel="0" collapsed="false">
      <c r="A814" s="37" t="str">
        <f aca="false">IF(B814="","",ROW()-3)</f>
        <v/>
      </c>
      <c r="B814" s="38"/>
      <c r="C814" s="39"/>
      <c r="D814" s="39"/>
      <c r="E814" s="39"/>
      <c r="F814" s="39"/>
      <c r="G814" s="40"/>
      <c r="H814" s="39"/>
      <c r="I814" s="40" t="n">
        <f aca="false">IF(G814="",0,G814*S814)</f>
        <v>0</v>
      </c>
      <c r="J814" s="40"/>
      <c r="K814" s="40" t="n">
        <f aca="false">IF(G814="",0,G814-I814-IF(J814="",0,J814))</f>
        <v>0</v>
      </c>
      <c r="L814" s="40" t="n">
        <f aca="false">IF(O814="",0,IFERROR(INDEX(Purchases!I:I,MATCH(O814*1,Purchases!A:A,0)),0))</f>
        <v>0</v>
      </c>
      <c r="M814" s="40" t="n">
        <f aca="false">IF(G814="",0,K814-L814)</f>
        <v>0</v>
      </c>
      <c r="N814" s="48" t="str">
        <f aca="false">IFERROR(IF(G814="","",M814/G814),"")</f>
        <v/>
      </c>
      <c r="O814" s="39"/>
      <c r="P814" s="39"/>
      <c r="Q814" s="39"/>
      <c r="R814" s="39"/>
      <c r="S814" s="48" t="n">
        <f aca="false">IFERROR(VLOOKUP(H814,Settings!B14:C25,2,FALSE()),0)</f>
        <v>0</v>
      </c>
    </row>
    <row r="815" customFormat="false" ht="15" hidden="false" customHeight="false" outlineLevel="0" collapsed="false">
      <c r="A815" s="41" t="str">
        <f aca="false">IF(B815="","",ROW()-3)</f>
        <v/>
      </c>
      <c r="B815" s="42"/>
      <c r="G815" s="44"/>
      <c r="I815" s="44" t="n">
        <f aca="false">IF(G815="",0,G815*S815)</f>
        <v>0</v>
      </c>
      <c r="J815" s="44"/>
      <c r="K815" s="44" t="n">
        <f aca="false">IF(G815="",0,G815-I815-IF(J815="",0,J815))</f>
        <v>0</v>
      </c>
      <c r="L815" s="44" t="n">
        <f aca="false">IF(O815="",0,IFERROR(INDEX(Purchases!I:I,MATCH(O815*1,Purchases!A:A,0)),0))</f>
        <v>0</v>
      </c>
      <c r="M815" s="44" t="n">
        <f aca="false">IF(G815="",0,K815-L815)</f>
        <v>0</v>
      </c>
      <c r="N815" s="49" t="str">
        <f aca="false">IFERROR(IF(G815="","",M815/G815),"")</f>
        <v/>
      </c>
      <c r="S815" s="49" t="n">
        <f aca="false">IFERROR(VLOOKUP(H815,Settings!B14:C25,2,FALSE()),0)</f>
        <v>0</v>
      </c>
    </row>
    <row r="816" customFormat="false" ht="15" hidden="false" customHeight="false" outlineLevel="0" collapsed="false">
      <c r="A816" s="37" t="str">
        <f aca="false">IF(B816="","",ROW()-3)</f>
        <v/>
      </c>
      <c r="B816" s="38"/>
      <c r="C816" s="39"/>
      <c r="D816" s="39"/>
      <c r="E816" s="39"/>
      <c r="F816" s="39"/>
      <c r="G816" s="40"/>
      <c r="H816" s="39"/>
      <c r="I816" s="40" t="n">
        <f aca="false">IF(G816="",0,G816*S816)</f>
        <v>0</v>
      </c>
      <c r="J816" s="40"/>
      <c r="K816" s="40" t="n">
        <f aca="false">IF(G816="",0,G816-I816-IF(J816="",0,J816))</f>
        <v>0</v>
      </c>
      <c r="L816" s="40" t="n">
        <f aca="false">IF(O816="",0,IFERROR(INDEX(Purchases!I:I,MATCH(O816*1,Purchases!A:A,0)),0))</f>
        <v>0</v>
      </c>
      <c r="M816" s="40" t="n">
        <f aca="false">IF(G816="",0,K816-L816)</f>
        <v>0</v>
      </c>
      <c r="N816" s="48" t="str">
        <f aca="false">IFERROR(IF(G816="","",M816/G816),"")</f>
        <v/>
      </c>
      <c r="O816" s="39"/>
      <c r="P816" s="39"/>
      <c r="Q816" s="39"/>
      <c r="R816" s="39"/>
      <c r="S816" s="48" t="n">
        <f aca="false">IFERROR(VLOOKUP(H816,Settings!B14:C25,2,FALSE()),0)</f>
        <v>0</v>
      </c>
    </row>
    <row r="817" customFormat="false" ht="15" hidden="false" customHeight="false" outlineLevel="0" collapsed="false">
      <c r="A817" s="41" t="str">
        <f aca="false">IF(B817="","",ROW()-3)</f>
        <v/>
      </c>
      <c r="B817" s="42"/>
      <c r="G817" s="44"/>
      <c r="I817" s="44" t="n">
        <f aca="false">IF(G817="",0,G817*S817)</f>
        <v>0</v>
      </c>
      <c r="J817" s="44"/>
      <c r="K817" s="44" t="n">
        <f aca="false">IF(G817="",0,G817-I817-IF(J817="",0,J817))</f>
        <v>0</v>
      </c>
      <c r="L817" s="44" t="n">
        <f aca="false">IF(O817="",0,IFERROR(INDEX(Purchases!I:I,MATCH(O817*1,Purchases!A:A,0)),0))</f>
        <v>0</v>
      </c>
      <c r="M817" s="44" t="n">
        <f aca="false">IF(G817="",0,K817-L817)</f>
        <v>0</v>
      </c>
      <c r="N817" s="49" t="str">
        <f aca="false">IFERROR(IF(G817="","",M817/G817),"")</f>
        <v/>
      </c>
      <c r="S817" s="49" t="n">
        <f aca="false">IFERROR(VLOOKUP(H817,Settings!B14:C25,2,FALSE()),0)</f>
        <v>0</v>
      </c>
    </row>
    <row r="818" customFormat="false" ht="15" hidden="false" customHeight="false" outlineLevel="0" collapsed="false">
      <c r="A818" s="37" t="str">
        <f aca="false">IF(B818="","",ROW()-3)</f>
        <v/>
      </c>
      <c r="B818" s="38"/>
      <c r="C818" s="39"/>
      <c r="D818" s="39"/>
      <c r="E818" s="39"/>
      <c r="F818" s="39"/>
      <c r="G818" s="40"/>
      <c r="H818" s="39"/>
      <c r="I818" s="40" t="n">
        <f aca="false">IF(G818="",0,G818*S818)</f>
        <v>0</v>
      </c>
      <c r="J818" s="40"/>
      <c r="K818" s="40" t="n">
        <f aca="false">IF(G818="",0,G818-I818-IF(J818="",0,J818))</f>
        <v>0</v>
      </c>
      <c r="L818" s="40" t="n">
        <f aca="false">IF(O818="",0,IFERROR(INDEX(Purchases!I:I,MATCH(O818*1,Purchases!A:A,0)),0))</f>
        <v>0</v>
      </c>
      <c r="M818" s="40" t="n">
        <f aca="false">IF(G818="",0,K818-L818)</f>
        <v>0</v>
      </c>
      <c r="N818" s="48" t="str">
        <f aca="false">IFERROR(IF(G818="","",M818/G818),"")</f>
        <v/>
      </c>
      <c r="O818" s="39"/>
      <c r="P818" s="39"/>
      <c r="Q818" s="39"/>
      <c r="R818" s="39"/>
      <c r="S818" s="48" t="n">
        <f aca="false">IFERROR(VLOOKUP(H818,Settings!B14:C25,2,FALSE()),0)</f>
        <v>0</v>
      </c>
    </row>
    <row r="819" customFormat="false" ht="15" hidden="false" customHeight="false" outlineLevel="0" collapsed="false">
      <c r="A819" s="41" t="str">
        <f aca="false">IF(B819="","",ROW()-3)</f>
        <v/>
      </c>
      <c r="B819" s="42"/>
      <c r="G819" s="44"/>
      <c r="I819" s="44" t="n">
        <f aca="false">IF(G819="",0,G819*S819)</f>
        <v>0</v>
      </c>
      <c r="J819" s="44"/>
      <c r="K819" s="44" t="n">
        <f aca="false">IF(G819="",0,G819-I819-IF(J819="",0,J819))</f>
        <v>0</v>
      </c>
      <c r="L819" s="44" t="n">
        <f aca="false">IF(O819="",0,IFERROR(INDEX(Purchases!I:I,MATCH(O819*1,Purchases!A:A,0)),0))</f>
        <v>0</v>
      </c>
      <c r="M819" s="44" t="n">
        <f aca="false">IF(G819="",0,K819-L819)</f>
        <v>0</v>
      </c>
      <c r="N819" s="49" t="str">
        <f aca="false">IFERROR(IF(G819="","",M819/G819),"")</f>
        <v/>
      </c>
      <c r="S819" s="49" t="n">
        <f aca="false">IFERROR(VLOOKUP(H819,Settings!B14:C25,2,FALSE()),0)</f>
        <v>0</v>
      </c>
    </row>
    <row r="820" customFormat="false" ht="15" hidden="false" customHeight="false" outlineLevel="0" collapsed="false">
      <c r="A820" s="37" t="str">
        <f aca="false">IF(B820="","",ROW()-3)</f>
        <v/>
      </c>
      <c r="B820" s="38"/>
      <c r="C820" s="39"/>
      <c r="D820" s="39"/>
      <c r="E820" s="39"/>
      <c r="F820" s="39"/>
      <c r="G820" s="40"/>
      <c r="H820" s="39"/>
      <c r="I820" s="40" t="n">
        <f aca="false">IF(G820="",0,G820*S820)</f>
        <v>0</v>
      </c>
      <c r="J820" s="40"/>
      <c r="K820" s="40" t="n">
        <f aca="false">IF(G820="",0,G820-I820-IF(J820="",0,J820))</f>
        <v>0</v>
      </c>
      <c r="L820" s="40" t="n">
        <f aca="false">IF(O820="",0,IFERROR(INDEX(Purchases!I:I,MATCH(O820*1,Purchases!A:A,0)),0))</f>
        <v>0</v>
      </c>
      <c r="M820" s="40" t="n">
        <f aca="false">IF(G820="",0,K820-L820)</f>
        <v>0</v>
      </c>
      <c r="N820" s="48" t="str">
        <f aca="false">IFERROR(IF(G820="","",M820/G820),"")</f>
        <v/>
      </c>
      <c r="O820" s="39"/>
      <c r="P820" s="39"/>
      <c r="Q820" s="39"/>
      <c r="R820" s="39"/>
      <c r="S820" s="48" t="n">
        <f aca="false">IFERROR(VLOOKUP(H820,Settings!B14:C25,2,FALSE()),0)</f>
        <v>0</v>
      </c>
    </row>
    <row r="821" customFormat="false" ht="15" hidden="false" customHeight="false" outlineLevel="0" collapsed="false">
      <c r="A821" s="41" t="str">
        <f aca="false">IF(B821="","",ROW()-3)</f>
        <v/>
      </c>
      <c r="B821" s="42"/>
      <c r="G821" s="44"/>
      <c r="I821" s="44" t="n">
        <f aca="false">IF(G821="",0,G821*S821)</f>
        <v>0</v>
      </c>
      <c r="J821" s="44"/>
      <c r="K821" s="44" t="n">
        <f aca="false">IF(G821="",0,G821-I821-IF(J821="",0,J821))</f>
        <v>0</v>
      </c>
      <c r="L821" s="44" t="n">
        <f aca="false">IF(O821="",0,IFERROR(INDEX(Purchases!I:I,MATCH(O821*1,Purchases!A:A,0)),0))</f>
        <v>0</v>
      </c>
      <c r="M821" s="44" t="n">
        <f aca="false">IF(G821="",0,K821-L821)</f>
        <v>0</v>
      </c>
      <c r="N821" s="49" t="str">
        <f aca="false">IFERROR(IF(G821="","",M821/G821),"")</f>
        <v/>
      </c>
      <c r="S821" s="49" t="n">
        <f aca="false">IFERROR(VLOOKUP(H821,Settings!B14:C25,2,FALSE()),0)</f>
        <v>0</v>
      </c>
    </row>
    <row r="822" customFormat="false" ht="15" hidden="false" customHeight="false" outlineLevel="0" collapsed="false">
      <c r="A822" s="37" t="str">
        <f aca="false">IF(B822="","",ROW()-3)</f>
        <v/>
      </c>
      <c r="B822" s="38"/>
      <c r="C822" s="39"/>
      <c r="D822" s="39"/>
      <c r="E822" s="39"/>
      <c r="F822" s="39"/>
      <c r="G822" s="40"/>
      <c r="H822" s="39"/>
      <c r="I822" s="40" t="n">
        <f aca="false">IF(G822="",0,G822*S822)</f>
        <v>0</v>
      </c>
      <c r="J822" s="40"/>
      <c r="K822" s="40" t="n">
        <f aca="false">IF(G822="",0,G822-I822-IF(J822="",0,J822))</f>
        <v>0</v>
      </c>
      <c r="L822" s="40" t="n">
        <f aca="false">IF(O822="",0,IFERROR(INDEX(Purchases!I:I,MATCH(O822*1,Purchases!A:A,0)),0))</f>
        <v>0</v>
      </c>
      <c r="M822" s="40" t="n">
        <f aca="false">IF(G822="",0,K822-L822)</f>
        <v>0</v>
      </c>
      <c r="N822" s="48" t="str">
        <f aca="false">IFERROR(IF(G822="","",M822/G822),"")</f>
        <v/>
      </c>
      <c r="O822" s="39"/>
      <c r="P822" s="39"/>
      <c r="Q822" s="39"/>
      <c r="R822" s="39"/>
      <c r="S822" s="48" t="n">
        <f aca="false">IFERROR(VLOOKUP(H822,Settings!B14:C25,2,FALSE()),0)</f>
        <v>0</v>
      </c>
    </row>
    <row r="823" customFormat="false" ht="15" hidden="false" customHeight="false" outlineLevel="0" collapsed="false">
      <c r="A823" s="41" t="str">
        <f aca="false">IF(B823="","",ROW()-3)</f>
        <v/>
      </c>
      <c r="B823" s="42"/>
      <c r="G823" s="44"/>
      <c r="I823" s="44" t="n">
        <f aca="false">IF(G823="",0,G823*S823)</f>
        <v>0</v>
      </c>
      <c r="J823" s="44"/>
      <c r="K823" s="44" t="n">
        <f aca="false">IF(G823="",0,G823-I823-IF(J823="",0,J823))</f>
        <v>0</v>
      </c>
      <c r="L823" s="44" t="n">
        <f aca="false">IF(O823="",0,IFERROR(INDEX(Purchases!I:I,MATCH(O823*1,Purchases!A:A,0)),0))</f>
        <v>0</v>
      </c>
      <c r="M823" s="44" t="n">
        <f aca="false">IF(G823="",0,K823-L823)</f>
        <v>0</v>
      </c>
      <c r="N823" s="49" t="str">
        <f aca="false">IFERROR(IF(G823="","",M823/G823),"")</f>
        <v/>
      </c>
      <c r="S823" s="49" t="n">
        <f aca="false">IFERROR(VLOOKUP(H823,Settings!B14:C25,2,FALSE()),0)</f>
        <v>0</v>
      </c>
    </row>
    <row r="824" customFormat="false" ht="15" hidden="false" customHeight="false" outlineLevel="0" collapsed="false">
      <c r="A824" s="37" t="str">
        <f aca="false">IF(B824="","",ROW()-3)</f>
        <v/>
      </c>
      <c r="B824" s="38"/>
      <c r="C824" s="39"/>
      <c r="D824" s="39"/>
      <c r="E824" s="39"/>
      <c r="F824" s="39"/>
      <c r="G824" s="40"/>
      <c r="H824" s="39"/>
      <c r="I824" s="40" t="n">
        <f aca="false">IF(G824="",0,G824*S824)</f>
        <v>0</v>
      </c>
      <c r="J824" s="40"/>
      <c r="K824" s="40" t="n">
        <f aca="false">IF(G824="",0,G824-I824-IF(J824="",0,J824))</f>
        <v>0</v>
      </c>
      <c r="L824" s="40" t="n">
        <f aca="false">IF(O824="",0,IFERROR(INDEX(Purchases!I:I,MATCH(O824*1,Purchases!A:A,0)),0))</f>
        <v>0</v>
      </c>
      <c r="M824" s="40" t="n">
        <f aca="false">IF(G824="",0,K824-L824)</f>
        <v>0</v>
      </c>
      <c r="N824" s="48" t="str">
        <f aca="false">IFERROR(IF(G824="","",M824/G824),"")</f>
        <v/>
      </c>
      <c r="O824" s="39"/>
      <c r="P824" s="39"/>
      <c r="Q824" s="39"/>
      <c r="R824" s="39"/>
      <c r="S824" s="48" t="n">
        <f aca="false">IFERROR(VLOOKUP(H824,Settings!B14:C25,2,FALSE()),0)</f>
        <v>0</v>
      </c>
    </row>
    <row r="825" customFormat="false" ht="15" hidden="false" customHeight="false" outlineLevel="0" collapsed="false">
      <c r="A825" s="41" t="str">
        <f aca="false">IF(B825="","",ROW()-3)</f>
        <v/>
      </c>
      <c r="B825" s="42"/>
      <c r="G825" s="44"/>
      <c r="I825" s="44" t="n">
        <f aca="false">IF(G825="",0,G825*S825)</f>
        <v>0</v>
      </c>
      <c r="J825" s="44"/>
      <c r="K825" s="44" t="n">
        <f aca="false">IF(G825="",0,G825-I825-IF(J825="",0,J825))</f>
        <v>0</v>
      </c>
      <c r="L825" s="44" t="n">
        <f aca="false">IF(O825="",0,IFERROR(INDEX(Purchases!I:I,MATCH(O825*1,Purchases!A:A,0)),0))</f>
        <v>0</v>
      </c>
      <c r="M825" s="44" t="n">
        <f aca="false">IF(G825="",0,K825-L825)</f>
        <v>0</v>
      </c>
      <c r="N825" s="49" t="str">
        <f aca="false">IFERROR(IF(G825="","",M825/G825),"")</f>
        <v/>
      </c>
      <c r="S825" s="49" t="n">
        <f aca="false">IFERROR(VLOOKUP(H825,Settings!B14:C25,2,FALSE()),0)</f>
        <v>0</v>
      </c>
    </row>
    <row r="826" customFormat="false" ht="15" hidden="false" customHeight="false" outlineLevel="0" collapsed="false">
      <c r="A826" s="37" t="str">
        <f aca="false">IF(B826="","",ROW()-3)</f>
        <v/>
      </c>
      <c r="B826" s="38"/>
      <c r="C826" s="39"/>
      <c r="D826" s="39"/>
      <c r="E826" s="39"/>
      <c r="F826" s="39"/>
      <c r="G826" s="40"/>
      <c r="H826" s="39"/>
      <c r="I826" s="40" t="n">
        <f aca="false">IF(G826="",0,G826*S826)</f>
        <v>0</v>
      </c>
      <c r="J826" s="40"/>
      <c r="K826" s="40" t="n">
        <f aca="false">IF(G826="",0,G826-I826-IF(J826="",0,J826))</f>
        <v>0</v>
      </c>
      <c r="L826" s="40" t="n">
        <f aca="false">IF(O826="",0,IFERROR(INDEX(Purchases!I:I,MATCH(O826*1,Purchases!A:A,0)),0))</f>
        <v>0</v>
      </c>
      <c r="M826" s="40" t="n">
        <f aca="false">IF(G826="",0,K826-L826)</f>
        <v>0</v>
      </c>
      <c r="N826" s="48" t="str">
        <f aca="false">IFERROR(IF(G826="","",M826/G826),"")</f>
        <v/>
      </c>
      <c r="O826" s="39"/>
      <c r="P826" s="39"/>
      <c r="Q826" s="39"/>
      <c r="R826" s="39"/>
      <c r="S826" s="48" t="n">
        <f aca="false">IFERROR(VLOOKUP(H826,Settings!B14:C25,2,FALSE()),0)</f>
        <v>0</v>
      </c>
    </row>
    <row r="827" customFormat="false" ht="15" hidden="false" customHeight="false" outlineLevel="0" collapsed="false">
      <c r="A827" s="41" t="str">
        <f aca="false">IF(B827="","",ROW()-3)</f>
        <v/>
      </c>
      <c r="B827" s="42"/>
      <c r="G827" s="44"/>
      <c r="I827" s="44" t="n">
        <f aca="false">IF(G827="",0,G827*S827)</f>
        <v>0</v>
      </c>
      <c r="J827" s="44"/>
      <c r="K827" s="44" t="n">
        <f aca="false">IF(G827="",0,G827-I827-IF(J827="",0,J827))</f>
        <v>0</v>
      </c>
      <c r="L827" s="44" t="n">
        <f aca="false">IF(O827="",0,IFERROR(INDEX(Purchases!I:I,MATCH(O827*1,Purchases!A:A,0)),0))</f>
        <v>0</v>
      </c>
      <c r="M827" s="44" t="n">
        <f aca="false">IF(G827="",0,K827-L827)</f>
        <v>0</v>
      </c>
      <c r="N827" s="49" t="str">
        <f aca="false">IFERROR(IF(G827="","",M827/G827),"")</f>
        <v/>
      </c>
      <c r="S827" s="49" t="n">
        <f aca="false">IFERROR(VLOOKUP(H827,Settings!B14:C25,2,FALSE()),0)</f>
        <v>0</v>
      </c>
    </row>
    <row r="828" customFormat="false" ht="15" hidden="false" customHeight="false" outlineLevel="0" collapsed="false">
      <c r="A828" s="37" t="str">
        <f aca="false">IF(B828="","",ROW()-3)</f>
        <v/>
      </c>
      <c r="B828" s="38"/>
      <c r="C828" s="39"/>
      <c r="D828" s="39"/>
      <c r="E828" s="39"/>
      <c r="F828" s="39"/>
      <c r="G828" s="40"/>
      <c r="H828" s="39"/>
      <c r="I828" s="40" t="n">
        <f aca="false">IF(G828="",0,G828*S828)</f>
        <v>0</v>
      </c>
      <c r="J828" s="40"/>
      <c r="K828" s="40" t="n">
        <f aca="false">IF(G828="",0,G828-I828-IF(J828="",0,J828))</f>
        <v>0</v>
      </c>
      <c r="L828" s="40" t="n">
        <f aca="false">IF(O828="",0,IFERROR(INDEX(Purchases!I:I,MATCH(O828*1,Purchases!A:A,0)),0))</f>
        <v>0</v>
      </c>
      <c r="M828" s="40" t="n">
        <f aca="false">IF(G828="",0,K828-L828)</f>
        <v>0</v>
      </c>
      <c r="N828" s="48" t="str">
        <f aca="false">IFERROR(IF(G828="","",M828/G828),"")</f>
        <v/>
      </c>
      <c r="O828" s="39"/>
      <c r="P828" s="39"/>
      <c r="Q828" s="39"/>
      <c r="R828" s="39"/>
      <c r="S828" s="48" t="n">
        <f aca="false">IFERROR(VLOOKUP(H828,Settings!B14:C25,2,FALSE()),0)</f>
        <v>0</v>
      </c>
    </row>
    <row r="829" customFormat="false" ht="15" hidden="false" customHeight="false" outlineLevel="0" collapsed="false">
      <c r="A829" s="41" t="str">
        <f aca="false">IF(B829="","",ROW()-3)</f>
        <v/>
      </c>
      <c r="B829" s="42"/>
      <c r="G829" s="44"/>
      <c r="I829" s="44" t="n">
        <f aca="false">IF(G829="",0,G829*S829)</f>
        <v>0</v>
      </c>
      <c r="J829" s="44"/>
      <c r="K829" s="44" t="n">
        <f aca="false">IF(G829="",0,G829-I829-IF(J829="",0,J829))</f>
        <v>0</v>
      </c>
      <c r="L829" s="44" t="n">
        <f aca="false">IF(O829="",0,IFERROR(INDEX(Purchases!I:I,MATCH(O829*1,Purchases!A:A,0)),0))</f>
        <v>0</v>
      </c>
      <c r="M829" s="44" t="n">
        <f aca="false">IF(G829="",0,K829-L829)</f>
        <v>0</v>
      </c>
      <c r="N829" s="49" t="str">
        <f aca="false">IFERROR(IF(G829="","",M829/G829),"")</f>
        <v/>
      </c>
      <c r="S829" s="49" t="n">
        <f aca="false">IFERROR(VLOOKUP(H829,Settings!B14:C25,2,FALSE()),0)</f>
        <v>0</v>
      </c>
    </row>
    <row r="830" customFormat="false" ht="15" hidden="false" customHeight="false" outlineLevel="0" collapsed="false">
      <c r="A830" s="37" t="str">
        <f aca="false">IF(B830="","",ROW()-3)</f>
        <v/>
      </c>
      <c r="B830" s="38"/>
      <c r="C830" s="39"/>
      <c r="D830" s="39"/>
      <c r="E830" s="39"/>
      <c r="F830" s="39"/>
      <c r="G830" s="40"/>
      <c r="H830" s="39"/>
      <c r="I830" s="40" t="n">
        <f aca="false">IF(G830="",0,G830*S830)</f>
        <v>0</v>
      </c>
      <c r="J830" s="40"/>
      <c r="K830" s="40" t="n">
        <f aca="false">IF(G830="",0,G830-I830-IF(J830="",0,J830))</f>
        <v>0</v>
      </c>
      <c r="L830" s="40" t="n">
        <f aca="false">IF(O830="",0,IFERROR(INDEX(Purchases!I:I,MATCH(O830*1,Purchases!A:A,0)),0))</f>
        <v>0</v>
      </c>
      <c r="M830" s="40" t="n">
        <f aca="false">IF(G830="",0,K830-L830)</f>
        <v>0</v>
      </c>
      <c r="N830" s="48" t="str">
        <f aca="false">IFERROR(IF(G830="","",M830/G830),"")</f>
        <v/>
      </c>
      <c r="O830" s="39"/>
      <c r="P830" s="39"/>
      <c r="Q830" s="39"/>
      <c r="R830" s="39"/>
      <c r="S830" s="48" t="n">
        <f aca="false">IFERROR(VLOOKUP(H830,Settings!B14:C25,2,FALSE()),0)</f>
        <v>0</v>
      </c>
    </row>
    <row r="831" customFormat="false" ht="15" hidden="false" customHeight="false" outlineLevel="0" collapsed="false">
      <c r="A831" s="41" t="str">
        <f aca="false">IF(B831="","",ROW()-3)</f>
        <v/>
      </c>
      <c r="B831" s="42"/>
      <c r="G831" s="44"/>
      <c r="I831" s="44" t="n">
        <f aca="false">IF(G831="",0,G831*S831)</f>
        <v>0</v>
      </c>
      <c r="J831" s="44"/>
      <c r="K831" s="44" t="n">
        <f aca="false">IF(G831="",0,G831-I831-IF(J831="",0,J831))</f>
        <v>0</v>
      </c>
      <c r="L831" s="44" t="n">
        <f aca="false">IF(O831="",0,IFERROR(INDEX(Purchases!I:I,MATCH(O831*1,Purchases!A:A,0)),0))</f>
        <v>0</v>
      </c>
      <c r="M831" s="44" t="n">
        <f aca="false">IF(G831="",0,K831-L831)</f>
        <v>0</v>
      </c>
      <c r="N831" s="49" t="str">
        <f aca="false">IFERROR(IF(G831="","",M831/G831),"")</f>
        <v/>
      </c>
      <c r="S831" s="49" t="n">
        <f aca="false">IFERROR(VLOOKUP(H831,Settings!B14:C25,2,FALSE()),0)</f>
        <v>0</v>
      </c>
    </row>
    <row r="832" customFormat="false" ht="15" hidden="false" customHeight="false" outlineLevel="0" collapsed="false">
      <c r="A832" s="37" t="str">
        <f aca="false">IF(B832="","",ROW()-3)</f>
        <v/>
      </c>
      <c r="B832" s="38"/>
      <c r="C832" s="39"/>
      <c r="D832" s="39"/>
      <c r="E832" s="39"/>
      <c r="F832" s="39"/>
      <c r="G832" s="40"/>
      <c r="H832" s="39"/>
      <c r="I832" s="40" t="n">
        <f aca="false">IF(G832="",0,G832*S832)</f>
        <v>0</v>
      </c>
      <c r="J832" s="40"/>
      <c r="K832" s="40" t="n">
        <f aca="false">IF(G832="",0,G832-I832-IF(J832="",0,J832))</f>
        <v>0</v>
      </c>
      <c r="L832" s="40" t="n">
        <f aca="false">IF(O832="",0,IFERROR(INDEX(Purchases!I:I,MATCH(O832*1,Purchases!A:A,0)),0))</f>
        <v>0</v>
      </c>
      <c r="M832" s="40" t="n">
        <f aca="false">IF(G832="",0,K832-L832)</f>
        <v>0</v>
      </c>
      <c r="N832" s="48" t="str">
        <f aca="false">IFERROR(IF(G832="","",M832/G832),"")</f>
        <v/>
      </c>
      <c r="O832" s="39"/>
      <c r="P832" s="39"/>
      <c r="Q832" s="39"/>
      <c r="R832" s="39"/>
      <c r="S832" s="48" t="n">
        <f aca="false">IFERROR(VLOOKUP(H832,Settings!B14:C25,2,FALSE()),0)</f>
        <v>0</v>
      </c>
    </row>
    <row r="833" customFormat="false" ht="15" hidden="false" customHeight="false" outlineLevel="0" collapsed="false">
      <c r="A833" s="41" t="str">
        <f aca="false">IF(B833="","",ROW()-3)</f>
        <v/>
      </c>
      <c r="B833" s="42"/>
      <c r="G833" s="44"/>
      <c r="I833" s="44" t="n">
        <f aca="false">IF(G833="",0,G833*S833)</f>
        <v>0</v>
      </c>
      <c r="J833" s="44"/>
      <c r="K833" s="44" t="n">
        <f aca="false">IF(G833="",0,G833-I833-IF(J833="",0,J833))</f>
        <v>0</v>
      </c>
      <c r="L833" s="44" t="n">
        <f aca="false">IF(O833="",0,IFERROR(INDEX(Purchases!I:I,MATCH(O833*1,Purchases!A:A,0)),0))</f>
        <v>0</v>
      </c>
      <c r="M833" s="44" t="n">
        <f aca="false">IF(G833="",0,K833-L833)</f>
        <v>0</v>
      </c>
      <c r="N833" s="49" t="str">
        <f aca="false">IFERROR(IF(G833="","",M833/G833),"")</f>
        <v/>
      </c>
      <c r="S833" s="49" t="n">
        <f aca="false">IFERROR(VLOOKUP(H833,Settings!B14:C25,2,FALSE()),0)</f>
        <v>0</v>
      </c>
    </row>
    <row r="834" customFormat="false" ht="15" hidden="false" customHeight="false" outlineLevel="0" collapsed="false">
      <c r="A834" s="37" t="str">
        <f aca="false">IF(B834="","",ROW()-3)</f>
        <v/>
      </c>
      <c r="B834" s="38"/>
      <c r="C834" s="39"/>
      <c r="D834" s="39"/>
      <c r="E834" s="39"/>
      <c r="F834" s="39"/>
      <c r="G834" s="40"/>
      <c r="H834" s="39"/>
      <c r="I834" s="40" t="n">
        <f aca="false">IF(G834="",0,G834*S834)</f>
        <v>0</v>
      </c>
      <c r="J834" s="40"/>
      <c r="K834" s="40" t="n">
        <f aca="false">IF(G834="",0,G834-I834-IF(J834="",0,J834))</f>
        <v>0</v>
      </c>
      <c r="L834" s="40" t="n">
        <f aca="false">IF(O834="",0,IFERROR(INDEX(Purchases!I:I,MATCH(O834*1,Purchases!A:A,0)),0))</f>
        <v>0</v>
      </c>
      <c r="M834" s="40" t="n">
        <f aca="false">IF(G834="",0,K834-L834)</f>
        <v>0</v>
      </c>
      <c r="N834" s="48" t="str">
        <f aca="false">IFERROR(IF(G834="","",M834/G834),"")</f>
        <v/>
      </c>
      <c r="O834" s="39"/>
      <c r="P834" s="39"/>
      <c r="Q834" s="39"/>
      <c r="R834" s="39"/>
      <c r="S834" s="48" t="n">
        <f aca="false">IFERROR(VLOOKUP(H834,Settings!B14:C25,2,FALSE()),0)</f>
        <v>0</v>
      </c>
    </row>
    <row r="835" customFormat="false" ht="15" hidden="false" customHeight="false" outlineLevel="0" collapsed="false">
      <c r="A835" s="41" t="str">
        <f aca="false">IF(B835="","",ROW()-3)</f>
        <v/>
      </c>
      <c r="B835" s="42"/>
      <c r="G835" s="44"/>
      <c r="I835" s="44" t="n">
        <f aca="false">IF(G835="",0,G835*S835)</f>
        <v>0</v>
      </c>
      <c r="J835" s="44"/>
      <c r="K835" s="44" t="n">
        <f aca="false">IF(G835="",0,G835-I835-IF(J835="",0,J835))</f>
        <v>0</v>
      </c>
      <c r="L835" s="44" t="n">
        <f aca="false">IF(O835="",0,IFERROR(INDEX(Purchases!I:I,MATCH(O835*1,Purchases!A:A,0)),0))</f>
        <v>0</v>
      </c>
      <c r="M835" s="44" t="n">
        <f aca="false">IF(G835="",0,K835-L835)</f>
        <v>0</v>
      </c>
      <c r="N835" s="49" t="str">
        <f aca="false">IFERROR(IF(G835="","",M835/G835),"")</f>
        <v/>
      </c>
      <c r="S835" s="49" t="n">
        <f aca="false">IFERROR(VLOOKUP(H835,Settings!B14:C25,2,FALSE()),0)</f>
        <v>0</v>
      </c>
    </row>
    <row r="836" customFormat="false" ht="15" hidden="false" customHeight="false" outlineLevel="0" collapsed="false">
      <c r="A836" s="37" t="str">
        <f aca="false">IF(B836="","",ROW()-3)</f>
        <v/>
      </c>
      <c r="B836" s="38"/>
      <c r="C836" s="39"/>
      <c r="D836" s="39"/>
      <c r="E836" s="39"/>
      <c r="F836" s="39"/>
      <c r="G836" s="40"/>
      <c r="H836" s="39"/>
      <c r="I836" s="40" t="n">
        <f aca="false">IF(G836="",0,G836*S836)</f>
        <v>0</v>
      </c>
      <c r="J836" s="40"/>
      <c r="K836" s="40" t="n">
        <f aca="false">IF(G836="",0,G836-I836-IF(J836="",0,J836))</f>
        <v>0</v>
      </c>
      <c r="L836" s="40" t="n">
        <f aca="false">IF(O836="",0,IFERROR(INDEX(Purchases!I:I,MATCH(O836*1,Purchases!A:A,0)),0))</f>
        <v>0</v>
      </c>
      <c r="M836" s="40" t="n">
        <f aca="false">IF(G836="",0,K836-L836)</f>
        <v>0</v>
      </c>
      <c r="N836" s="48" t="str">
        <f aca="false">IFERROR(IF(G836="","",M836/G836),"")</f>
        <v/>
      </c>
      <c r="O836" s="39"/>
      <c r="P836" s="39"/>
      <c r="Q836" s="39"/>
      <c r="R836" s="39"/>
      <c r="S836" s="48" t="n">
        <f aca="false">IFERROR(VLOOKUP(H836,Settings!B14:C25,2,FALSE()),0)</f>
        <v>0</v>
      </c>
    </row>
    <row r="837" customFormat="false" ht="15" hidden="false" customHeight="false" outlineLevel="0" collapsed="false">
      <c r="A837" s="41" t="str">
        <f aca="false">IF(B837="","",ROW()-3)</f>
        <v/>
      </c>
      <c r="B837" s="42"/>
      <c r="G837" s="44"/>
      <c r="I837" s="44" t="n">
        <f aca="false">IF(G837="",0,G837*S837)</f>
        <v>0</v>
      </c>
      <c r="J837" s="44"/>
      <c r="K837" s="44" t="n">
        <f aca="false">IF(G837="",0,G837-I837-IF(J837="",0,J837))</f>
        <v>0</v>
      </c>
      <c r="L837" s="44" t="n">
        <f aca="false">IF(O837="",0,IFERROR(INDEX(Purchases!I:I,MATCH(O837*1,Purchases!A:A,0)),0))</f>
        <v>0</v>
      </c>
      <c r="M837" s="44" t="n">
        <f aca="false">IF(G837="",0,K837-L837)</f>
        <v>0</v>
      </c>
      <c r="N837" s="49" t="str">
        <f aca="false">IFERROR(IF(G837="","",M837/G837),"")</f>
        <v/>
      </c>
      <c r="S837" s="49" t="n">
        <f aca="false">IFERROR(VLOOKUP(H837,Settings!B14:C25,2,FALSE()),0)</f>
        <v>0</v>
      </c>
    </row>
    <row r="838" customFormat="false" ht="15" hidden="false" customHeight="false" outlineLevel="0" collapsed="false">
      <c r="A838" s="37" t="str">
        <f aca="false">IF(B838="","",ROW()-3)</f>
        <v/>
      </c>
      <c r="B838" s="38"/>
      <c r="C838" s="39"/>
      <c r="D838" s="39"/>
      <c r="E838" s="39"/>
      <c r="F838" s="39"/>
      <c r="G838" s="40"/>
      <c r="H838" s="39"/>
      <c r="I838" s="40" t="n">
        <f aca="false">IF(G838="",0,G838*S838)</f>
        <v>0</v>
      </c>
      <c r="J838" s="40"/>
      <c r="K838" s="40" t="n">
        <f aca="false">IF(G838="",0,G838-I838-IF(J838="",0,J838))</f>
        <v>0</v>
      </c>
      <c r="L838" s="40" t="n">
        <f aca="false">IF(O838="",0,IFERROR(INDEX(Purchases!I:I,MATCH(O838*1,Purchases!A:A,0)),0))</f>
        <v>0</v>
      </c>
      <c r="M838" s="40" t="n">
        <f aca="false">IF(G838="",0,K838-L838)</f>
        <v>0</v>
      </c>
      <c r="N838" s="48" t="str">
        <f aca="false">IFERROR(IF(G838="","",M838/G838),"")</f>
        <v/>
      </c>
      <c r="O838" s="39"/>
      <c r="P838" s="39"/>
      <c r="Q838" s="39"/>
      <c r="R838" s="39"/>
      <c r="S838" s="48" t="n">
        <f aca="false">IFERROR(VLOOKUP(H838,Settings!B14:C25,2,FALSE()),0)</f>
        <v>0</v>
      </c>
    </row>
    <row r="839" customFormat="false" ht="15" hidden="false" customHeight="false" outlineLevel="0" collapsed="false">
      <c r="A839" s="41" t="str">
        <f aca="false">IF(B839="","",ROW()-3)</f>
        <v/>
      </c>
      <c r="B839" s="42"/>
      <c r="G839" s="44"/>
      <c r="I839" s="44" t="n">
        <f aca="false">IF(G839="",0,G839*S839)</f>
        <v>0</v>
      </c>
      <c r="J839" s="44"/>
      <c r="K839" s="44" t="n">
        <f aca="false">IF(G839="",0,G839-I839-IF(J839="",0,J839))</f>
        <v>0</v>
      </c>
      <c r="L839" s="44" t="n">
        <f aca="false">IF(O839="",0,IFERROR(INDEX(Purchases!I:I,MATCH(O839*1,Purchases!A:A,0)),0))</f>
        <v>0</v>
      </c>
      <c r="M839" s="44" t="n">
        <f aca="false">IF(G839="",0,K839-L839)</f>
        <v>0</v>
      </c>
      <c r="N839" s="49" t="str">
        <f aca="false">IFERROR(IF(G839="","",M839/G839),"")</f>
        <v/>
      </c>
      <c r="S839" s="49" t="n">
        <f aca="false">IFERROR(VLOOKUP(H839,Settings!B14:C25,2,FALSE()),0)</f>
        <v>0</v>
      </c>
    </row>
    <row r="840" customFormat="false" ht="15" hidden="false" customHeight="false" outlineLevel="0" collapsed="false">
      <c r="A840" s="37" t="str">
        <f aca="false">IF(B840="","",ROW()-3)</f>
        <v/>
      </c>
      <c r="B840" s="38"/>
      <c r="C840" s="39"/>
      <c r="D840" s="39"/>
      <c r="E840" s="39"/>
      <c r="F840" s="39"/>
      <c r="G840" s="40"/>
      <c r="H840" s="39"/>
      <c r="I840" s="40" t="n">
        <f aca="false">IF(G840="",0,G840*S840)</f>
        <v>0</v>
      </c>
      <c r="J840" s="40"/>
      <c r="K840" s="40" t="n">
        <f aca="false">IF(G840="",0,G840-I840-IF(J840="",0,J840))</f>
        <v>0</v>
      </c>
      <c r="L840" s="40" t="n">
        <f aca="false">IF(O840="",0,IFERROR(INDEX(Purchases!I:I,MATCH(O840*1,Purchases!A:A,0)),0))</f>
        <v>0</v>
      </c>
      <c r="M840" s="40" t="n">
        <f aca="false">IF(G840="",0,K840-L840)</f>
        <v>0</v>
      </c>
      <c r="N840" s="48" t="str">
        <f aca="false">IFERROR(IF(G840="","",M840/G840),"")</f>
        <v/>
      </c>
      <c r="O840" s="39"/>
      <c r="P840" s="39"/>
      <c r="Q840" s="39"/>
      <c r="R840" s="39"/>
      <c r="S840" s="48" t="n">
        <f aca="false">IFERROR(VLOOKUP(H840,Settings!B14:C25,2,FALSE()),0)</f>
        <v>0</v>
      </c>
    </row>
    <row r="841" customFormat="false" ht="15" hidden="false" customHeight="false" outlineLevel="0" collapsed="false">
      <c r="A841" s="41" t="str">
        <f aca="false">IF(B841="","",ROW()-3)</f>
        <v/>
      </c>
      <c r="B841" s="42"/>
      <c r="G841" s="44"/>
      <c r="I841" s="44" t="n">
        <f aca="false">IF(G841="",0,G841*S841)</f>
        <v>0</v>
      </c>
      <c r="J841" s="44"/>
      <c r="K841" s="44" t="n">
        <f aca="false">IF(G841="",0,G841-I841-IF(J841="",0,J841))</f>
        <v>0</v>
      </c>
      <c r="L841" s="44" t="n">
        <f aca="false">IF(O841="",0,IFERROR(INDEX(Purchases!I:I,MATCH(O841*1,Purchases!A:A,0)),0))</f>
        <v>0</v>
      </c>
      <c r="M841" s="44" t="n">
        <f aca="false">IF(G841="",0,K841-L841)</f>
        <v>0</v>
      </c>
      <c r="N841" s="49" t="str">
        <f aca="false">IFERROR(IF(G841="","",M841/G841),"")</f>
        <v/>
      </c>
      <c r="S841" s="49" t="n">
        <f aca="false">IFERROR(VLOOKUP(H841,Settings!B14:C25,2,FALSE()),0)</f>
        <v>0</v>
      </c>
    </row>
    <row r="842" customFormat="false" ht="15" hidden="false" customHeight="false" outlineLevel="0" collapsed="false">
      <c r="A842" s="37" t="str">
        <f aca="false">IF(B842="","",ROW()-3)</f>
        <v/>
      </c>
      <c r="B842" s="38"/>
      <c r="C842" s="39"/>
      <c r="D842" s="39"/>
      <c r="E842" s="39"/>
      <c r="F842" s="39"/>
      <c r="G842" s="40"/>
      <c r="H842" s="39"/>
      <c r="I842" s="40" t="n">
        <f aca="false">IF(G842="",0,G842*S842)</f>
        <v>0</v>
      </c>
      <c r="J842" s="40"/>
      <c r="K842" s="40" t="n">
        <f aca="false">IF(G842="",0,G842-I842-IF(J842="",0,J842))</f>
        <v>0</v>
      </c>
      <c r="L842" s="40" t="n">
        <f aca="false">IF(O842="",0,IFERROR(INDEX(Purchases!I:I,MATCH(O842*1,Purchases!A:A,0)),0))</f>
        <v>0</v>
      </c>
      <c r="M842" s="40" t="n">
        <f aca="false">IF(G842="",0,K842-L842)</f>
        <v>0</v>
      </c>
      <c r="N842" s="48" t="str">
        <f aca="false">IFERROR(IF(G842="","",M842/G842),"")</f>
        <v/>
      </c>
      <c r="O842" s="39"/>
      <c r="P842" s="39"/>
      <c r="Q842" s="39"/>
      <c r="R842" s="39"/>
      <c r="S842" s="48" t="n">
        <f aca="false">IFERROR(VLOOKUP(H842,Settings!B14:C25,2,FALSE()),0)</f>
        <v>0</v>
      </c>
    </row>
    <row r="843" customFormat="false" ht="15" hidden="false" customHeight="false" outlineLevel="0" collapsed="false">
      <c r="A843" s="41" t="str">
        <f aca="false">IF(B843="","",ROW()-3)</f>
        <v/>
      </c>
      <c r="B843" s="42"/>
      <c r="G843" s="44"/>
      <c r="I843" s="44" t="n">
        <f aca="false">IF(G843="",0,G843*S843)</f>
        <v>0</v>
      </c>
      <c r="J843" s="44"/>
      <c r="K843" s="44" t="n">
        <f aca="false">IF(G843="",0,G843-I843-IF(J843="",0,J843))</f>
        <v>0</v>
      </c>
      <c r="L843" s="44" t="n">
        <f aca="false">IF(O843="",0,IFERROR(INDEX(Purchases!I:I,MATCH(O843*1,Purchases!A:A,0)),0))</f>
        <v>0</v>
      </c>
      <c r="M843" s="44" t="n">
        <f aca="false">IF(G843="",0,K843-L843)</f>
        <v>0</v>
      </c>
      <c r="N843" s="49" t="str">
        <f aca="false">IFERROR(IF(G843="","",M843/G843),"")</f>
        <v/>
      </c>
      <c r="S843" s="49" t="n">
        <f aca="false">IFERROR(VLOOKUP(H843,Settings!B14:C25,2,FALSE()),0)</f>
        <v>0</v>
      </c>
    </row>
    <row r="844" customFormat="false" ht="15" hidden="false" customHeight="false" outlineLevel="0" collapsed="false">
      <c r="A844" s="37" t="str">
        <f aca="false">IF(B844="","",ROW()-3)</f>
        <v/>
      </c>
      <c r="B844" s="38"/>
      <c r="C844" s="39"/>
      <c r="D844" s="39"/>
      <c r="E844" s="39"/>
      <c r="F844" s="39"/>
      <c r="G844" s="40"/>
      <c r="H844" s="39"/>
      <c r="I844" s="40" t="n">
        <f aca="false">IF(G844="",0,G844*S844)</f>
        <v>0</v>
      </c>
      <c r="J844" s="40"/>
      <c r="K844" s="40" t="n">
        <f aca="false">IF(G844="",0,G844-I844-IF(J844="",0,J844))</f>
        <v>0</v>
      </c>
      <c r="L844" s="40" t="n">
        <f aca="false">IF(O844="",0,IFERROR(INDEX(Purchases!I:I,MATCH(O844*1,Purchases!A:A,0)),0))</f>
        <v>0</v>
      </c>
      <c r="M844" s="40" t="n">
        <f aca="false">IF(G844="",0,K844-L844)</f>
        <v>0</v>
      </c>
      <c r="N844" s="48" t="str">
        <f aca="false">IFERROR(IF(G844="","",M844/G844),"")</f>
        <v/>
      </c>
      <c r="O844" s="39"/>
      <c r="P844" s="39"/>
      <c r="Q844" s="39"/>
      <c r="R844" s="39"/>
      <c r="S844" s="48" t="n">
        <f aca="false">IFERROR(VLOOKUP(H844,Settings!B14:C25,2,FALSE()),0)</f>
        <v>0</v>
      </c>
    </row>
    <row r="845" customFormat="false" ht="15" hidden="false" customHeight="false" outlineLevel="0" collapsed="false">
      <c r="A845" s="41" t="str">
        <f aca="false">IF(B845="","",ROW()-3)</f>
        <v/>
      </c>
      <c r="B845" s="42"/>
      <c r="G845" s="44"/>
      <c r="I845" s="44" t="n">
        <f aca="false">IF(G845="",0,G845*S845)</f>
        <v>0</v>
      </c>
      <c r="J845" s="44"/>
      <c r="K845" s="44" t="n">
        <f aca="false">IF(G845="",0,G845-I845-IF(J845="",0,J845))</f>
        <v>0</v>
      </c>
      <c r="L845" s="44" t="n">
        <f aca="false">IF(O845="",0,IFERROR(INDEX(Purchases!I:I,MATCH(O845*1,Purchases!A:A,0)),0))</f>
        <v>0</v>
      </c>
      <c r="M845" s="44" t="n">
        <f aca="false">IF(G845="",0,K845-L845)</f>
        <v>0</v>
      </c>
      <c r="N845" s="49" t="str">
        <f aca="false">IFERROR(IF(G845="","",M845/G845),"")</f>
        <v/>
      </c>
      <c r="S845" s="49" t="n">
        <f aca="false">IFERROR(VLOOKUP(H845,Settings!B14:C25,2,FALSE()),0)</f>
        <v>0</v>
      </c>
    </row>
    <row r="846" customFormat="false" ht="15" hidden="false" customHeight="false" outlineLevel="0" collapsed="false">
      <c r="A846" s="37" t="str">
        <f aca="false">IF(B846="","",ROW()-3)</f>
        <v/>
      </c>
      <c r="B846" s="38"/>
      <c r="C846" s="39"/>
      <c r="D846" s="39"/>
      <c r="E846" s="39"/>
      <c r="F846" s="39"/>
      <c r="G846" s="40"/>
      <c r="H846" s="39"/>
      <c r="I846" s="40" t="n">
        <f aca="false">IF(G846="",0,G846*S846)</f>
        <v>0</v>
      </c>
      <c r="J846" s="40"/>
      <c r="K846" s="40" t="n">
        <f aca="false">IF(G846="",0,G846-I846-IF(J846="",0,J846))</f>
        <v>0</v>
      </c>
      <c r="L846" s="40" t="n">
        <f aca="false">IF(O846="",0,IFERROR(INDEX(Purchases!I:I,MATCH(O846*1,Purchases!A:A,0)),0))</f>
        <v>0</v>
      </c>
      <c r="M846" s="40" t="n">
        <f aca="false">IF(G846="",0,K846-L846)</f>
        <v>0</v>
      </c>
      <c r="N846" s="48" t="str">
        <f aca="false">IFERROR(IF(G846="","",M846/G846),"")</f>
        <v/>
      </c>
      <c r="O846" s="39"/>
      <c r="P846" s="39"/>
      <c r="Q846" s="39"/>
      <c r="R846" s="39"/>
      <c r="S846" s="48" t="n">
        <f aca="false">IFERROR(VLOOKUP(H846,Settings!B14:C25,2,FALSE()),0)</f>
        <v>0</v>
      </c>
    </row>
    <row r="847" customFormat="false" ht="15" hidden="false" customHeight="false" outlineLevel="0" collapsed="false">
      <c r="A847" s="41" t="str">
        <f aca="false">IF(B847="","",ROW()-3)</f>
        <v/>
      </c>
      <c r="B847" s="42"/>
      <c r="G847" s="44"/>
      <c r="I847" s="44" t="n">
        <f aca="false">IF(G847="",0,G847*S847)</f>
        <v>0</v>
      </c>
      <c r="J847" s="44"/>
      <c r="K847" s="44" t="n">
        <f aca="false">IF(G847="",0,G847-I847-IF(J847="",0,J847))</f>
        <v>0</v>
      </c>
      <c r="L847" s="44" t="n">
        <f aca="false">IF(O847="",0,IFERROR(INDEX(Purchases!I:I,MATCH(O847*1,Purchases!A:A,0)),0))</f>
        <v>0</v>
      </c>
      <c r="M847" s="44" t="n">
        <f aca="false">IF(G847="",0,K847-L847)</f>
        <v>0</v>
      </c>
      <c r="N847" s="49" t="str">
        <f aca="false">IFERROR(IF(G847="","",M847/G847),"")</f>
        <v/>
      </c>
      <c r="S847" s="49" t="n">
        <f aca="false">IFERROR(VLOOKUP(H847,Settings!B14:C25,2,FALSE()),0)</f>
        <v>0</v>
      </c>
    </row>
    <row r="848" customFormat="false" ht="15" hidden="false" customHeight="false" outlineLevel="0" collapsed="false">
      <c r="A848" s="37" t="str">
        <f aca="false">IF(B848="","",ROW()-3)</f>
        <v/>
      </c>
      <c r="B848" s="38"/>
      <c r="C848" s="39"/>
      <c r="D848" s="39"/>
      <c r="E848" s="39"/>
      <c r="F848" s="39"/>
      <c r="G848" s="40"/>
      <c r="H848" s="39"/>
      <c r="I848" s="40" t="n">
        <f aca="false">IF(G848="",0,G848*S848)</f>
        <v>0</v>
      </c>
      <c r="J848" s="40"/>
      <c r="K848" s="40" t="n">
        <f aca="false">IF(G848="",0,G848-I848-IF(J848="",0,J848))</f>
        <v>0</v>
      </c>
      <c r="L848" s="40" t="n">
        <f aca="false">IF(O848="",0,IFERROR(INDEX(Purchases!I:I,MATCH(O848*1,Purchases!A:A,0)),0))</f>
        <v>0</v>
      </c>
      <c r="M848" s="40" t="n">
        <f aca="false">IF(G848="",0,K848-L848)</f>
        <v>0</v>
      </c>
      <c r="N848" s="48" t="str">
        <f aca="false">IFERROR(IF(G848="","",M848/G848),"")</f>
        <v/>
      </c>
      <c r="O848" s="39"/>
      <c r="P848" s="39"/>
      <c r="Q848" s="39"/>
      <c r="R848" s="39"/>
      <c r="S848" s="48" t="n">
        <f aca="false">IFERROR(VLOOKUP(H848,Settings!B14:C25,2,FALSE()),0)</f>
        <v>0</v>
      </c>
    </row>
    <row r="849" customFormat="false" ht="15" hidden="false" customHeight="false" outlineLevel="0" collapsed="false">
      <c r="A849" s="41" t="str">
        <f aca="false">IF(B849="","",ROW()-3)</f>
        <v/>
      </c>
      <c r="B849" s="42"/>
      <c r="G849" s="44"/>
      <c r="I849" s="44" t="n">
        <f aca="false">IF(G849="",0,G849*S849)</f>
        <v>0</v>
      </c>
      <c r="J849" s="44"/>
      <c r="K849" s="44" t="n">
        <f aca="false">IF(G849="",0,G849-I849-IF(J849="",0,J849))</f>
        <v>0</v>
      </c>
      <c r="L849" s="44" t="n">
        <f aca="false">IF(O849="",0,IFERROR(INDEX(Purchases!I:I,MATCH(O849*1,Purchases!A:A,0)),0))</f>
        <v>0</v>
      </c>
      <c r="M849" s="44" t="n">
        <f aca="false">IF(G849="",0,K849-L849)</f>
        <v>0</v>
      </c>
      <c r="N849" s="49" t="str">
        <f aca="false">IFERROR(IF(G849="","",M849/G849),"")</f>
        <v/>
      </c>
      <c r="S849" s="49" t="n">
        <f aca="false">IFERROR(VLOOKUP(H849,Settings!B14:C25,2,FALSE()),0)</f>
        <v>0</v>
      </c>
    </row>
    <row r="850" customFormat="false" ht="15" hidden="false" customHeight="false" outlineLevel="0" collapsed="false">
      <c r="A850" s="37" t="str">
        <f aca="false">IF(B850="","",ROW()-3)</f>
        <v/>
      </c>
      <c r="B850" s="38"/>
      <c r="C850" s="39"/>
      <c r="D850" s="39"/>
      <c r="E850" s="39"/>
      <c r="F850" s="39"/>
      <c r="G850" s="40"/>
      <c r="H850" s="39"/>
      <c r="I850" s="40" t="n">
        <f aca="false">IF(G850="",0,G850*S850)</f>
        <v>0</v>
      </c>
      <c r="J850" s="40"/>
      <c r="K850" s="40" t="n">
        <f aca="false">IF(G850="",0,G850-I850-IF(J850="",0,J850))</f>
        <v>0</v>
      </c>
      <c r="L850" s="40" t="n">
        <f aca="false">IF(O850="",0,IFERROR(INDEX(Purchases!I:I,MATCH(O850*1,Purchases!A:A,0)),0))</f>
        <v>0</v>
      </c>
      <c r="M850" s="40" t="n">
        <f aca="false">IF(G850="",0,K850-L850)</f>
        <v>0</v>
      </c>
      <c r="N850" s="48" t="str">
        <f aca="false">IFERROR(IF(G850="","",M850/G850),"")</f>
        <v/>
      </c>
      <c r="O850" s="39"/>
      <c r="P850" s="39"/>
      <c r="Q850" s="39"/>
      <c r="R850" s="39"/>
      <c r="S850" s="48" t="n">
        <f aca="false">IFERROR(VLOOKUP(H850,Settings!B14:C25,2,FALSE()),0)</f>
        <v>0</v>
      </c>
    </row>
    <row r="851" customFormat="false" ht="15" hidden="false" customHeight="false" outlineLevel="0" collapsed="false">
      <c r="A851" s="41" t="str">
        <f aca="false">IF(B851="","",ROW()-3)</f>
        <v/>
      </c>
      <c r="B851" s="42"/>
      <c r="G851" s="44"/>
      <c r="I851" s="44" t="n">
        <f aca="false">IF(G851="",0,G851*S851)</f>
        <v>0</v>
      </c>
      <c r="J851" s="44"/>
      <c r="K851" s="44" t="n">
        <f aca="false">IF(G851="",0,G851-I851-IF(J851="",0,J851))</f>
        <v>0</v>
      </c>
      <c r="L851" s="44" t="n">
        <f aca="false">IF(O851="",0,IFERROR(INDEX(Purchases!I:I,MATCH(O851*1,Purchases!A:A,0)),0))</f>
        <v>0</v>
      </c>
      <c r="M851" s="44" t="n">
        <f aca="false">IF(G851="",0,K851-L851)</f>
        <v>0</v>
      </c>
      <c r="N851" s="49" t="str">
        <f aca="false">IFERROR(IF(G851="","",M851/G851),"")</f>
        <v/>
      </c>
      <c r="S851" s="49" t="n">
        <f aca="false">IFERROR(VLOOKUP(H851,Settings!B14:C25,2,FALSE()),0)</f>
        <v>0</v>
      </c>
    </row>
    <row r="852" customFormat="false" ht="15" hidden="false" customHeight="false" outlineLevel="0" collapsed="false">
      <c r="A852" s="37" t="str">
        <f aca="false">IF(B852="","",ROW()-3)</f>
        <v/>
      </c>
      <c r="B852" s="38"/>
      <c r="C852" s="39"/>
      <c r="D852" s="39"/>
      <c r="E852" s="39"/>
      <c r="F852" s="39"/>
      <c r="G852" s="40"/>
      <c r="H852" s="39"/>
      <c r="I852" s="40" t="n">
        <f aca="false">IF(G852="",0,G852*S852)</f>
        <v>0</v>
      </c>
      <c r="J852" s="40"/>
      <c r="K852" s="40" t="n">
        <f aca="false">IF(G852="",0,G852-I852-IF(J852="",0,J852))</f>
        <v>0</v>
      </c>
      <c r="L852" s="40" t="n">
        <f aca="false">IF(O852="",0,IFERROR(INDEX(Purchases!I:I,MATCH(O852*1,Purchases!A:A,0)),0))</f>
        <v>0</v>
      </c>
      <c r="M852" s="40" t="n">
        <f aca="false">IF(G852="",0,K852-L852)</f>
        <v>0</v>
      </c>
      <c r="N852" s="48" t="str">
        <f aca="false">IFERROR(IF(G852="","",M852/G852),"")</f>
        <v/>
      </c>
      <c r="O852" s="39"/>
      <c r="P852" s="39"/>
      <c r="Q852" s="39"/>
      <c r="R852" s="39"/>
      <c r="S852" s="48" t="n">
        <f aca="false">IFERROR(VLOOKUP(H852,Settings!B14:C25,2,FALSE()),0)</f>
        <v>0</v>
      </c>
    </row>
    <row r="853" customFormat="false" ht="15" hidden="false" customHeight="false" outlineLevel="0" collapsed="false">
      <c r="A853" s="41" t="str">
        <f aca="false">IF(B853="","",ROW()-3)</f>
        <v/>
      </c>
      <c r="B853" s="42"/>
      <c r="G853" s="44"/>
      <c r="I853" s="44" t="n">
        <f aca="false">IF(G853="",0,G853*S853)</f>
        <v>0</v>
      </c>
      <c r="J853" s="44"/>
      <c r="K853" s="44" t="n">
        <f aca="false">IF(G853="",0,G853-I853-IF(J853="",0,J853))</f>
        <v>0</v>
      </c>
      <c r="L853" s="44" t="n">
        <f aca="false">IF(O853="",0,IFERROR(INDEX(Purchases!I:I,MATCH(O853*1,Purchases!A:A,0)),0))</f>
        <v>0</v>
      </c>
      <c r="M853" s="44" t="n">
        <f aca="false">IF(G853="",0,K853-L853)</f>
        <v>0</v>
      </c>
      <c r="N853" s="49" t="str">
        <f aca="false">IFERROR(IF(G853="","",M853/G853),"")</f>
        <v/>
      </c>
      <c r="S853" s="49" t="n">
        <f aca="false">IFERROR(VLOOKUP(H853,Settings!B14:C25,2,FALSE()),0)</f>
        <v>0</v>
      </c>
    </row>
    <row r="854" customFormat="false" ht="15" hidden="false" customHeight="false" outlineLevel="0" collapsed="false">
      <c r="A854" s="37" t="str">
        <f aca="false">IF(B854="","",ROW()-3)</f>
        <v/>
      </c>
      <c r="B854" s="38"/>
      <c r="C854" s="39"/>
      <c r="D854" s="39"/>
      <c r="E854" s="39"/>
      <c r="F854" s="39"/>
      <c r="G854" s="40"/>
      <c r="H854" s="39"/>
      <c r="I854" s="40" t="n">
        <f aca="false">IF(G854="",0,G854*S854)</f>
        <v>0</v>
      </c>
      <c r="J854" s="40"/>
      <c r="K854" s="40" t="n">
        <f aca="false">IF(G854="",0,G854-I854-IF(J854="",0,J854))</f>
        <v>0</v>
      </c>
      <c r="L854" s="40" t="n">
        <f aca="false">IF(O854="",0,IFERROR(INDEX(Purchases!I:I,MATCH(O854*1,Purchases!A:A,0)),0))</f>
        <v>0</v>
      </c>
      <c r="M854" s="40" t="n">
        <f aca="false">IF(G854="",0,K854-L854)</f>
        <v>0</v>
      </c>
      <c r="N854" s="48" t="str">
        <f aca="false">IFERROR(IF(G854="","",M854/G854),"")</f>
        <v/>
      </c>
      <c r="O854" s="39"/>
      <c r="P854" s="39"/>
      <c r="Q854" s="39"/>
      <c r="R854" s="39"/>
      <c r="S854" s="48" t="n">
        <f aca="false">IFERROR(VLOOKUP(H854,Settings!B14:C25,2,FALSE()),0)</f>
        <v>0</v>
      </c>
    </row>
    <row r="855" customFormat="false" ht="15" hidden="false" customHeight="false" outlineLevel="0" collapsed="false">
      <c r="A855" s="41" t="str">
        <f aca="false">IF(B855="","",ROW()-3)</f>
        <v/>
      </c>
      <c r="B855" s="42"/>
      <c r="G855" s="44"/>
      <c r="I855" s="44" t="n">
        <f aca="false">IF(G855="",0,G855*S855)</f>
        <v>0</v>
      </c>
      <c r="J855" s="44"/>
      <c r="K855" s="44" t="n">
        <f aca="false">IF(G855="",0,G855-I855-IF(J855="",0,J855))</f>
        <v>0</v>
      </c>
      <c r="L855" s="44" t="n">
        <f aca="false">IF(O855="",0,IFERROR(INDEX(Purchases!I:I,MATCH(O855*1,Purchases!A:A,0)),0))</f>
        <v>0</v>
      </c>
      <c r="M855" s="44" t="n">
        <f aca="false">IF(G855="",0,K855-L855)</f>
        <v>0</v>
      </c>
      <c r="N855" s="49" t="str">
        <f aca="false">IFERROR(IF(G855="","",M855/G855),"")</f>
        <v/>
      </c>
      <c r="S855" s="49" t="n">
        <f aca="false">IFERROR(VLOOKUP(H855,Settings!B14:C25,2,FALSE()),0)</f>
        <v>0</v>
      </c>
    </row>
    <row r="856" customFormat="false" ht="15" hidden="false" customHeight="false" outlineLevel="0" collapsed="false">
      <c r="A856" s="37" t="str">
        <f aca="false">IF(B856="","",ROW()-3)</f>
        <v/>
      </c>
      <c r="B856" s="38"/>
      <c r="C856" s="39"/>
      <c r="D856" s="39"/>
      <c r="E856" s="39"/>
      <c r="F856" s="39"/>
      <c r="G856" s="40"/>
      <c r="H856" s="39"/>
      <c r="I856" s="40" t="n">
        <f aca="false">IF(G856="",0,G856*S856)</f>
        <v>0</v>
      </c>
      <c r="J856" s="40"/>
      <c r="K856" s="40" t="n">
        <f aca="false">IF(G856="",0,G856-I856-IF(J856="",0,J856))</f>
        <v>0</v>
      </c>
      <c r="L856" s="40" t="n">
        <f aca="false">IF(O856="",0,IFERROR(INDEX(Purchases!I:I,MATCH(O856*1,Purchases!A:A,0)),0))</f>
        <v>0</v>
      </c>
      <c r="M856" s="40" t="n">
        <f aca="false">IF(G856="",0,K856-L856)</f>
        <v>0</v>
      </c>
      <c r="N856" s="48" t="str">
        <f aca="false">IFERROR(IF(G856="","",M856/G856),"")</f>
        <v/>
      </c>
      <c r="O856" s="39"/>
      <c r="P856" s="39"/>
      <c r="Q856" s="39"/>
      <c r="R856" s="39"/>
      <c r="S856" s="48" t="n">
        <f aca="false">IFERROR(VLOOKUP(H856,Settings!B14:C25,2,FALSE()),0)</f>
        <v>0</v>
      </c>
    </row>
    <row r="857" customFormat="false" ht="15" hidden="false" customHeight="false" outlineLevel="0" collapsed="false">
      <c r="A857" s="41" t="str">
        <f aca="false">IF(B857="","",ROW()-3)</f>
        <v/>
      </c>
      <c r="B857" s="42"/>
      <c r="G857" s="44"/>
      <c r="I857" s="44" t="n">
        <f aca="false">IF(G857="",0,G857*S857)</f>
        <v>0</v>
      </c>
      <c r="J857" s="44"/>
      <c r="K857" s="44" t="n">
        <f aca="false">IF(G857="",0,G857-I857-IF(J857="",0,J857))</f>
        <v>0</v>
      </c>
      <c r="L857" s="44" t="n">
        <f aca="false">IF(O857="",0,IFERROR(INDEX(Purchases!I:I,MATCH(O857*1,Purchases!A:A,0)),0))</f>
        <v>0</v>
      </c>
      <c r="M857" s="44" t="n">
        <f aca="false">IF(G857="",0,K857-L857)</f>
        <v>0</v>
      </c>
      <c r="N857" s="49" t="str">
        <f aca="false">IFERROR(IF(G857="","",M857/G857),"")</f>
        <v/>
      </c>
      <c r="S857" s="49" t="n">
        <f aca="false">IFERROR(VLOOKUP(H857,Settings!B14:C25,2,FALSE()),0)</f>
        <v>0</v>
      </c>
    </row>
    <row r="858" customFormat="false" ht="15" hidden="false" customHeight="false" outlineLevel="0" collapsed="false">
      <c r="A858" s="37" t="str">
        <f aca="false">IF(B858="","",ROW()-3)</f>
        <v/>
      </c>
      <c r="B858" s="38"/>
      <c r="C858" s="39"/>
      <c r="D858" s="39"/>
      <c r="E858" s="39"/>
      <c r="F858" s="39"/>
      <c r="G858" s="40"/>
      <c r="H858" s="39"/>
      <c r="I858" s="40" t="n">
        <f aca="false">IF(G858="",0,G858*S858)</f>
        <v>0</v>
      </c>
      <c r="J858" s="40"/>
      <c r="K858" s="40" t="n">
        <f aca="false">IF(G858="",0,G858-I858-IF(J858="",0,J858))</f>
        <v>0</v>
      </c>
      <c r="L858" s="40" t="n">
        <f aca="false">IF(O858="",0,IFERROR(INDEX(Purchases!I:I,MATCH(O858*1,Purchases!A:A,0)),0))</f>
        <v>0</v>
      </c>
      <c r="M858" s="40" t="n">
        <f aca="false">IF(G858="",0,K858-L858)</f>
        <v>0</v>
      </c>
      <c r="N858" s="48" t="str">
        <f aca="false">IFERROR(IF(G858="","",M858/G858),"")</f>
        <v/>
      </c>
      <c r="O858" s="39"/>
      <c r="P858" s="39"/>
      <c r="Q858" s="39"/>
      <c r="R858" s="39"/>
      <c r="S858" s="48" t="n">
        <f aca="false">IFERROR(VLOOKUP(H858,Settings!B14:C25,2,FALSE()),0)</f>
        <v>0</v>
      </c>
    </row>
    <row r="859" customFormat="false" ht="15" hidden="false" customHeight="false" outlineLevel="0" collapsed="false">
      <c r="A859" s="41" t="str">
        <f aca="false">IF(B859="","",ROW()-3)</f>
        <v/>
      </c>
      <c r="B859" s="42"/>
      <c r="G859" s="44"/>
      <c r="I859" s="44" t="n">
        <f aca="false">IF(G859="",0,G859*S859)</f>
        <v>0</v>
      </c>
      <c r="J859" s="44"/>
      <c r="K859" s="44" t="n">
        <f aca="false">IF(G859="",0,G859-I859-IF(J859="",0,J859))</f>
        <v>0</v>
      </c>
      <c r="L859" s="44" t="n">
        <f aca="false">IF(O859="",0,IFERROR(INDEX(Purchases!I:I,MATCH(O859*1,Purchases!A:A,0)),0))</f>
        <v>0</v>
      </c>
      <c r="M859" s="44" t="n">
        <f aca="false">IF(G859="",0,K859-L859)</f>
        <v>0</v>
      </c>
      <c r="N859" s="49" t="str">
        <f aca="false">IFERROR(IF(G859="","",M859/G859),"")</f>
        <v/>
      </c>
      <c r="S859" s="49" t="n">
        <f aca="false">IFERROR(VLOOKUP(H859,Settings!B14:C25,2,FALSE()),0)</f>
        <v>0</v>
      </c>
    </row>
    <row r="860" customFormat="false" ht="15" hidden="false" customHeight="false" outlineLevel="0" collapsed="false">
      <c r="A860" s="37" t="str">
        <f aca="false">IF(B860="","",ROW()-3)</f>
        <v/>
      </c>
      <c r="B860" s="38"/>
      <c r="C860" s="39"/>
      <c r="D860" s="39"/>
      <c r="E860" s="39"/>
      <c r="F860" s="39"/>
      <c r="G860" s="40"/>
      <c r="H860" s="39"/>
      <c r="I860" s="40" t="n">
        <f aca="false">IF(G860="",0,G860*S860)</f>
        <v>0</v>
      </c>
      <c r="J860" s="40"/>
      <c r="K860" s="40" t="n">
        <f aca="false">IF(G860="",0,G860-I860-IF(J860="",0,J860))</f>
        <v>0</v>
      </c>
      <c r="L860" s="40" t="n">
        <f aca="false">IF(O860="",0,IFERROR(INDEX(Purchases!I:I,MATCH(O860*1,Purchases!A:A,0)),0))</f>
        <v>0</v>
      </c>
      <c r="M860" s="40" t="n">
        <f aca="false">IF(G860="",0,K860-L860)</f>
        <v>0</v>
      </c>
      <c r="N860" s="48" t="str">
        <f aca="false">IFERROR(IF(G860="","",M860/G860),"")</f>
        <v/>
      </c>
      <c r="O860" s="39"/>
      <c r="P860" s="39"/>
      <c r="Q860" s="39"/>
      <c r="R860" s="39"/>
      <c r="S860" s="48" t="n">
        <f aca="false">IFERROR(VLOOKUP(H860,Settings!B14:C25,2,FALSE()),0)</f>
        <v>0</v>
      </c>
    </row>
    <row r="861" customFormat="false" ht="15" hidden="false" customHeight="false" outlineLevel="0" collapsed="false">
      <c r="A861" s="41" t="str">
        <f aca="false">IF(B861="","",ROW()-3)</f>
        <v/>
      </c>
      <c r="B861" s="42"/>
      <c r="G861" s="44"/>
      <c r="I861" s="44" t="n">
        <f aca="false">IF(G861="",0,G861*S861)</f>
        <v>0</v>
      </c>
      <c r="J861" s="44"/>
      <c r="K861" s="44" t="n">
        <f aca="false">IF(G861="",0,G861-I861-IF(J861="",0,J861))</f>
        <v>0</v>
      </c>
      <c r="L861" s="44" t="n">
        <f aca="false">IF(O861="",0,IFERROR(INDEX(Purchases!I:I,MATCH(O861*1,Purchases!A:A,0)),0))</f>
        <v>0</v>
      </c>
      <c r="M861" s="44" t="n">
        <f aca="false">IF(G861="",0,K861-L861)</f>
        <v>0</v>
      </c>
      <c r="N861" s="49" t="str">
        <f aca="false">IFERROR(IF(G861="","",M861/G861),"")</f>
        <v/>
      </c>
      <c r="S861" s="49" t="n">
        <f aca="false">IFERROR(VLOOKUP(H861,Settings!B14:C25,2,FALSE()),0)</f>
        <v>0</v>
      </c>
    </row>
    <row r="862" customFormat="false" ht="15" hidden="false" customHeight="false" outlineLevel="0" collapsed="false">
      <c r="A862" s="37" t="str">
        <f aca="false">IF(B862="","",ROW()-3)</f>
        <v/>
      </c>
      <c r="B862" s="38"/>
      <c r="C862" s="39"/>
      <c r="D862" s="39"/>
      <c r="E862" s="39"/>
      <c r="F862" s="39"/>
      <c r="G862" s="40"/>
      <c r="H862" s="39"/>
      <c r="I862" s="40" t="n">
        <f aca="false">IF(G862="",0,G862*S862)</f>
        <v>0</v>
      </c>
      <c r="J862" s="40"/>
      <c r="K862" s="40" t="n">
        <f aca="false">IF(G862="",0,G862-I862-IF(J862="",0,J862))</f>
        <v>0</v>
      </c>
      <c r="L862" s="40" t="n">
        <f aca="false">IF(O862="",0,IFERROR(INDEX(Purchases!I:I,MATCH(O862*1,Purchases!A:A,0)),0))</f>
        <v>0</v>
      </c>
      <c r="M862" s="40" t="n">
        <f aca="false">IF(G862="",0,K862-L862)</f>
        <v>0</v>
      </c>
      <c r="N862" s="48" t="str">
        <f aca="false">IFERROR(IF(G862="","",M862/G862),"")</f>
        <v/>
      </c>
      <c r="O862" s="39"/>
      <c r="P862" s="39"/>
      <c r="Q862" s="39"/>
      <c r="R862" s="39"/>
      <c r="S862" s="48" t="n">
        <f aca="false">IFERROR(VLOOKUP(H862,Settings!B14:C25,2,FALSE()),0)</f>
        <v>0</v>
      </c>
    </row>
    <row r="863" customFormat="false" ht="15" hidden="false" customHeight="false" outlineLevel="0" collapsed="false">
      <c r="A863" s="41" t="str">
        <f aca="false">IF(B863="","",ROW()-3)</f>
        <v/>
      </c>
      <c r="B863" s="42"/>
      <c r="G863" s="44"/>
      <c r="I863" s="44" t="n">
        <f aca="false">IF(G863="",0,G863*S863)</f>
        <v>0</v>
      </c>
      <c r="J863" s="44"/>
      <c r="K863" s="44" t="n">
        <f aca="false">IF(G863="",0,G863-I863-IF(J863="",0,J863))</f>
        <v>0</v>
      </c>
      <c r="L863" s="44" t="n">
        <f aca="false">IF(O863="",0,IFERROR(INDEX(Purchases!I:I,MATCH(O863*1,Purchases!A:A,0)),0))</f>
        <v>0</v>
      </c>
      <c r="M863" s="44" t="n">
        <f aca="false">IF(G863="",0,K863-L863)</f>
        <v>0</v>
      </c>
      <c r="N863" s="49" t="str">
        <f aca="false">IFERROR(IF(G863="","",M863/G863),"")</f>
        <v/>
      </c>
      <c r="S863" s="49" t="n">
        <f aca="false">IFERROR(VLOOKUP(H863,Settings!B14:C25,2,FALSE()),0)</f>
        <v>0</v>
      </c>
    </row>
    <row r="864" customFormat="false" ht="15" hidden="false" customHeight="false" outlineLevel="0" collapsed="false">
      <c r="A864" s="37" t="str">
        <f aca="false">IF(B864="","",ROW()-3)</f>
        <v/>
      </c>
      <c r="B864" s="38"/>
      <c r="C864" s="39"/>
      <c r="D864" s="39"/>
      <c r="E864" s="39"/>
      <c r="F864" s="39"/>
      <c r="G864" s="40"/>
      <c r="H864" s="39"/>
      <c r="I864" s="40" t="n">
        <f aca="false">IF(G864="",0,G864*S864)</f>
        <v>0</v>
      </c>
      <c r="J864" s="40"/>
      <c r="K864" s="40" t="n">
        <f aca="false">IF(G864="",0,G864-I864-IF(J864="",0,J864))</f>
        <v>0</v>
      </c>
      <c r="L864" s="40" t="n">
        <f aca="false">IF(O864="",0,IFERROR(INDEX(Purchases!I:I,MATCH(O864*1,Purchases!A:A,0)),0))</f>
        <v>0</v>
      </c>
      <c r="M864" s="40" t="n">
        <f aca="false">IF(G864="",0,K864-L864)</f>
        <v>0</v>
      </c>
      <c r="N864" s="48" t="str">
        <f aca="false">IFERROR(IF(G864="","",M864/G864),"")</f>
        <v/>
      </c>
      <c r="O864" s="39"/>
      <c r="P864" s="39"/>
      <c r="Q864" s="39"/>
      <c r="R864" s="39"/>
      <c r="S864" s="48" t="n">
        <f aca="false">IFERROR(VLOOKUP(H864,Settings!B14:C25,2,FALSE()),0)</f>
        <v>0</v>
      </c>
    </row>
    <row r="865" customFormat="false" ht="15" hidden="false" customHeight="false" outlineLevel="0" collapsed="false">
      <c r="A865" s="41" t="str">
        <f aca="false">IF(B865="","",ROW()-3)</f>
        <v/>
      </c>
      <c r="B865" s="42"/>
      <c r="G865" s="44"/>
      <c r="I865" s="44" t="n">
        <f aca="false">IF(G865="",0,G865*S865)</f>
        <v>0</v>
      </c>
      <c r="J865" s="44"/>
      <c r="K865" s="44" t="n">
        <f aca="false">IF(G865="",0,G865-I865-IF(J865="",0,J865))</f>
        <v>0</v>
      </c>
      <c r="L865" s="44" t="n">
        <f aca="false">IF(O865="",0,IFERROR(INDEX(Purchases!I:I,MATCH(O865*1,Purchases!A:A,0)),0))</f>
        <v>0</v>
      </c>
      <c r="M865" s="44" t="n">
        <f aca="false">IF(G865="",0,K865-L865)</f>
        <v>0</v>
      </c>
      <c r="N865" s="49" t="str">
        <f aca="false">IFERROR(IF(G865="","",M865/G865),"")</f>
        <v/>
      </c>
      <c r="S865" s="49" t="n">
        <f aca="false">IFERROR(VLOOKUP(H865,Settings!B14:C25,2,FALSE()),0)</f>
        <v>0</v>
      </c>
    </row>
    <row r="866" customFormat="false" ht="15" hidden="false" customHeight="false" outlineLevel="0" collapsed="false">
      <c r="A866" s="37" t="str">
        <f aca="false">IF(B866="","",ROW()-3)</f>
        <v/>
      </c>
      <c r="B866" s="38"/>
      <c r="C866" s="39"/>
      <c r="D866" s="39"/>
      <c r="E866" s="39"/>
      <c r="F866" s="39"/>
      <c r="G866" s="40"/>
      <c r="H866" s="39"/>
      <c r="I866" s="40" t="n">
        <f aca="false">IF(G866="",0,G866*S866)</f>
        <v>0</v>
      </c>
      <c r="J866" s="40"/>
      <c r="K866" s="40" t="n">
        <f aca="false">IF(G866="",0,G866-I866-IF(J866="",0,J866))</f>
        <v>0</v>
      </c>
      <c r="L866" s="40" t="n">
        <f aca="false">IF(O866="",0,IFERROR(INDEX(Purchases!I:I,MATCH(O866*1,Purchases!A:A,0)),0))</f>
        <v>0</v>
      </c>
      <c r="M866" s="40" t="n">
        <f aca="false">IF(G866="",0,K866-L866)</f>
        <v>0</v>
      </c>
      <c r="N866" s="48" t="str">
        <f aca="false">IFERROR(IF(G866="","",M866/G866),"")</f>
        <v/>
      </c>
      <c r="O866" s="39"/>
      <c r="P866" s="39"/>
      <c r="Q866" s="39"/>
      <c r="R866" s="39"/>
      <c r="S866" s="48" t="n">
        <f aca="false">IFERROR(VLOOKUP(H866,Settings!B14:C25,2,FALSE()),0)</f>
        <v>0</v>
      </c>
    </row>
    <row r="867" customFormat="false" ht="15" hidden="false" customHeight="false" outlineLevel="0" collapsed="false">
      <c r="A867" s="41" t="str">
        <f aca="false">IF(B867="","",ROW()-3)</f>
        <v/>
      </c>
      <c r="B867" s="42"/>
      <c r="G867" s="44"/>
      <c r="I867" s="44" t="n">
        <f aca="false">IF(G867="",0,G867*S867)</f>
        <v>0</v>
      </c>
      <c r="J867" s="44"/>
      <c r="K867" s="44" t="n">
        <f aca="false">IF(G867="",0,G867-I867-IF(J867="",0,J867))</f>
        <v>0</v>
      </c>
      <c r="L867" s="44" t="n">
        <f aca="false">IF(O867="",0,IFERROR(INDEX(Purchases!I:I,MATCH(O867*1,Purchases!A:A,0)),0))</f>
        <v>0</v>
      </c>
      <c r="M867" s="44" t="n">
        <f aca="false">IF(G867="",0,K867-L867)</f>
        <v>0</v>
      </c>
      <c r="N867" s="49" t="str">
        <f aca="false">IFERROR(IF(G867="","",M867/G867),"")</f>
        <v/>
      </c>
      <c r="S867" s="49" t="n">
        <f aca="false">IFERROR(VLOOKUP(H867,Settings!B14:C25,2,FALSE()),0)</f>
        <v>0</v>
      </c>
    </row>
    <row r="868" customFormat="false" ht="15" hidden="false" customHeight="false" outlineLevel="0" collapsed="false">
      <c r="A868" s="37" t="str">
        <f aca="false">IF(B868="","",ROW()-3)</f>
        <v/>
      </c>
      <c r="B868" s="38"/>
      <c r="C868" s="39"/>
      <c r="D868" s="39"/>
      <c r="E868" s="39"/>
      <c r="F868" s="39"/>
      <c r="G868" s="40"/>
      <c r="H868" s="39"/>
      <c r="I868" s="40" t="n">
        <f aca="false">IF(G868="",0,G868*S868)</f>
        <v>0</v>
      </c>
      <c r="J868" s="40"/>
      <c r="K868" s="40" t="n">
        <f aca="false">IF(G868="",0,G868-I868-IF(J868="",0,J868))</f>
        <v>0</v>
      </c>
      <c r="L868" s="40" t="n">
        <f aca="false">IF(O868="",0,IFERROR(INDEX(Purchases!I:I,MATCH(O868*1,Purchases!A:A,0)),0))</f>
        <v>0</v>
      </c>
      <c r="M868" s="40" t="n">
        <f aca="false">IF(G868="",0,K868-L868)</f>
        <v>0</v>
      </c>
      <c r="N868" s="48" t="str">
        <f aca="false">IFERROR(IF(G868="","",M868/G868),"")</f>
        <v/>
      </c>
      <c r="O868" s="39"/>
      <c r="P868" s="39"/>
      <c r="Q868" s="39"/>
      <c r="R868" s="39"/>
      <c r="S868" s="48" t="n">
        <f aca="false">IFERROR(VLOOKUP(H868,Settings!B14:C25,2,FALSE()),0)</f>
        <v>0</v>
      </c>
    </row>
    <row r="869" customFormat="false" ht="15" hidden="false" customHeight="false" outlineLevel="0" collapsed="false">
      <c r="A869" s="41" t="str">
        <f aca="false">IF(B869="","",ROW()-3)</f>
        <v/>
      </c>
      <c r="B869" s="42"/>
      <c r="G869" s="44"/>
      <c r="I869" s="44" t="n">
        <f aca="false">IF(G869="",0,G869*S869)</f>
        <v>0</v>
      </c>
      <c r="J869" s="44"/>
      <c r="K869" s="44" t="n">
        <f aca="false">IF(G869="",0,G869-I869-IF(J869="",0,J869))</f>
        <v>0</v>
      </c>
      <c r="L869" s="44" t="n">
        <f aca="false">IF(O869="",0,IFERROR(INDEX(Purchases!I:I,MATCH(O869*1,Purchases!A:A,0)),0))</f>
        <v>0</v>
      </c>
      <c r="M869" s="44" t="n">
        <f aca="false">IF(G869="",0,K869-L869)</f>
        <v>0</v>
      </c>
      <c r="N869" s="49" t="str">
        <f aca="false">IFERROR(IF(G869="","",M869/G869),"")</f>
        <v/>
      </c>
      <c r="S869" s="49" t="n">
        <f aca="false">IFERROR(VLOOKUP(H869,Settings!B14:C25,2,FALSE()),0)</f>
        <v>0</v>
      </c>
    </row>
    <row r="870" customFormat="false" ht="15" hidden="false" customHeight="false" outlineLevel="0" collapsed="false">
      <c r="A870" s="37" t="str">
        <f aca="false">IF(B870="","",ROW()-3)</f>
        <v/>
      </c>
      <c r="B870" s="38"/>
      <c r="C870" s="39"/>
      <c r="D870" s="39"/>
      <c r="E870" s="39"/>
      <c r="F870" s="39"/>
      <c r="G870" s="40"/>
      <c r="H870" s="39"/>
      <c r="I870" s="40" t="n">
        <f aca="false">IF(G870="",0,G870*S870)</f>
        <v>0</v>
      </c>
      <c r="J870" s="40"/>
      <c r="K870" s="40" t="n">
        <f aca="false">IF(G870="",0,G870-I870-IF(J870="",0,J870))</f>
        <v>0</v>
      </c>
      <c r="L870" s="40" t="n">
        <f aca="false">IF(O870="",0,IFERROR(INDEX(Purchases!I:I,MATCH(O870*1,Purchases!A:A,0)),0))</f>
        <v>0</v>
      </c>
      <c r="M870" s="40" t="n">
        <f aca="false">IF(G870="",0,K870-L870)</f>
        <v>0</v>
      </c>
      <c r="N870" s="48" t="str">
        <f aca="false">IFERROR(IF(G870="","",M870/G870),"")</f>
        <v/>
      </c>
      <c r="O870" s="39"/>
      <c r="P870" s="39"/>
      <c r="Q870" s="39"/>
      <c r="R870" s="39"/>
      <c r="S870" s="48" t="n">
        <f aca="false">IFERROR(VLOOKUP(H870,Settings!B14:C25,2,FALSE()),0)</f>
        <v>0</v>
      </c>
    </row>
    <row r="871" customFormat="false" ht="15" hidden="false" customHeight="false" outlineLevel="0" collapsed="false">
      <c r="A871" s="41" t="str">
        <f aca="false">IF(B871="","",ROW()-3)</f>
        <v/>
      </c>
      <c r="B871" s="42"/>
      <c r="G871" s="44"/>
      <c r="I871" s="44" t="n">
        <f aca="false">IF(G871="",0,G871*S871)</f>
        <v>0</v>
      </c>
      <c r="J871" s="44"/>
      <c r="K871" s="44" t="n">
        <f aca="false">IF(G871="",0,G871-I871-IF(J871="",0,J871))</f>
        <v>0</v>
      </c>
      <c r="L871" s="44" t="n">
        <f aca="false">IF(O871="",0,IFERROR(INDEX(Purchases!I:I,MATCH(O871*1,Purchases!A:A,0)),0))</f>
        <v>0</v>
      </c>
      <c r="M871" s="44" t="n">
        <f aca="false">IF(G871="",0,K871-L871)</f>
        <v>0</v>
      </c>
      <c r="N871" s="49" t="str">
        <f aca="false">IFERROR(IF(G871="","",M871/G871),"")</f>
        <v/>
      </c>
      <c r="S871" s="49" t="n">
        <f aca="false">IFERROR(VLOOKUP(H871,Settings!B14:C25,2,FALSE()),0)</f>
        <v>0</v>
      </c>
    </row>
    <row r="872" customFormat="false" ht="15" hidden="false" customHeight="false" outlineLevel="0" collapsed="false">
      <c r="A872" s="37" t="str">
        <f aca="false">IF(B872="","",ROW()-3)</f>
        <v/>
      </c>
      <c r="B872" s="38"/>
      <c r="C872" s="39"/>
      <c r="D872" s="39"/>
      <c r="E872" s="39"/>
      <c r="F872" s="39"/>
      <c r="G872" s="40"/>
      <c r="H872" s="39"/>
      <c r="I872" s="40" t="n">
        <f aca="false">IF(G872="",0,G872*S872)</f>
        <v>0</v>
      </c>
      <c r="J872" s="40"/>
      <c r="K872" s="40" t="n">
        <f aca="false">IF(G872="",0,G872-I872-IF(J872="",0,J872))</f>
        <v>0</v>
      </c>
      <c r="L872" s="40" t="n">
        <f aca="false">IF(O872="",0,IFERROR(INDEX(Purchases!I:I,MATCH(O872*1,Purchases!A:A,0)),0))</f>
        <v>0</v>
      </c>
      <c r="M872" s="40" t="n">
        <f aca="false">IF(G872="",0,K872-L872)</f>
        <v>0</v>
      </c>
      <c r="N872" s="48" t="str">
        <f aca="false">IFERROR(IF(G872="","",M872/G872),"")</f>
        <v/>
      </c>
      <c r="O872" s="39"/>
      <c r="P872" s="39"/>
      <c r="Q872" s="39"/>
      <c r="R872" s="39"/>
      <c r="S872" s="48" t="n">
        <f aca="false">IFERROR(VLOOKUP(H872,Settings!B14:C25,2,FALSE()),0)</f>
        <v>0</v>
      </c>
    </row>
    <row r="873" customFormat="false" ht="15" hidden="false" customHeight="false" outlineLevel="0" collapsed="false">
      <c r="A873" s="41" t="str">
        <f aca="false">IF(B873="","",ROW()-3)</f>
        <v/>
      </c>
      <c r="B873" s="42"/>
      <c r="G873" s="44"/>
      <c r="I873" s="44" t="n">
        <f aca="false">IF(G873="",0,G873*S873)</f>
        <v>0</v>
      </c>
      <c r="J873" s="44"/>
      <c r="K873" s="44" t="n">
        <f aca="false">IF(G873="",0,G873-I873-IF(J873="",0,J873))</f>
        <v>0</v>
      </c>
      <c r="L873" s="44" t="n">
        <f aca="false">IF(O873="",0,IFERROR(INDEX(Purchases!I:I,MATCH(O873*1,Purchases!A:A,0)),0))</f>
        <v>0</v>
      </c>
      <c r="M873" s="44" t="n">
        <f aca="false">IF(G873="",0,K873-L873)</f>
        <v>0</v>
      </c>
      <c r="N873" s="49" t="str">
        <f aca="false">IFERROR(IF(G873="","",M873/G873),"")</f>
        <v/>
      </c>
      <c r="S873" s="49" t="n">
        <f aca="false">IFERROR(VLOOKUP(H873,Settings!B14:C25,2,FALSE()),0)</f>
        <v>0</v>
      </c>
    </row>
    <row r="874" customFormat="false" ht="15" hidden="false" customHeight="false" outlineLevel="0" collapsed="false">
      <c r="A874" s="37" t="str">
        <f aca="false">IF(B874="","",ROW()-3)</f>
        <v/>
      </c>
      <c r="B874" s="38"/>
      <c r="C874" s="39"/>
      <c r="D874" s="39"/>
      <c r="E874" s="39"/>
      <c r="F874" s="39"/>
      <c r="G874" s="40"/>
      <c r="H874" s="39"/>
      <c r="I874" s="40" t="n">
        <f aca="false">IF(G874="",0,G874*S874)</f>
        <v>0</v>
      </c>
      <c r="J874" s="40"/>
      <c r="K874" s="40" t="n">
        <f aca="false">IF(G874="",0,G874-I874-IF(J874="",0,J874))</f>
        <v>0</v>
      </c>
      <c r="L874" s="40" t="n">
        <f aca="false">IF(O874="",0,IFERROR(INDEX(Purchases!I:I,MATCH(O874*1,Purchases!A:A,0)),0))</f>
        <v>0</v>
      </c>
      <c r="M874" s="40" t="n">
        <f aca="false">IF(G874="",0,K874-L874)</f>
        <v>0</v>
      </c>
      <c r="N874" s="48" t="str">
        <f aca="false">IFERROR(IF(G874="","",M874/G874),"")</f>
        <v/>
      </c>
      <c r="O874" s="39"/>
      <c r="P874" s="39"/>
      <c r="Q874" s="39"/>
      <c r="R874" s="39"/>
      <c r="S874" s="48" t="n">
        <f aca="false">IFERROR(VLOOKUP(H874,Settings!B14:C25,2,FALSE()),0)</f>
        <v>0</v>
      </c>
    </row>
    <row r="875" customFormat="false" ht="15" hidden="false" customHeight="false" outlineLevel="0" collapsed="false">
      <c r="A875" s="41" t="str">
        <f aca="false">IF(B875="","",ROW()-3)</f>
        <v/>
      </c>
      <c r="B875" s="42"/>
      <c r="G875" s="44"/>
      <c r="I875" s="44" t="n">
        <f aca="false">IF(G875="",0,G875*S875)</f>
        <v>0</v>
      </c>
      <c r="J875" s="44"/>
      <c r="K875" s="44" t="n">
        <f aca="false">IF(G875="",0,G875-I875-IF(J875="",0,J875))</f>
        <v>0</v>
      </c>
      <c r="L875" s="44" t="n">
        <f aca="false">IF(O875="",0,IFERROR(INDEX(Purchases!I:I,MATCH(O875*1,Purchases!A:A,0)),0))</f>
        <v>0</v>
      </c>
      <c r="M875" s="44" t="n">
        <f aca="false">IF(G875="",0,K875-L875)</f>
        <v>0</v>
      </c>
      <c r="N875" s="49" t="str">
        <f aca="false">IFERROR(IF(G875="","",M875/G875),"")</f>
        <v/>
      </c>
      <c r="S875" s="49" t="n">
        <f aca="false">IFERROR(VLOOKUP(H875,Settings!B14:C25,2,FALSE()),0)</f>
        <v>0</v>
      </c>
    </row>
    <row r="876" customFormat="false" ht="15" hidden="false" customHeight="false" outlineLevel="0" collapsed="false">
      <c r="A876" s="37" t="str">
        <f aca="false">IF(B876="","",ROW()-3)</f>
        <v/>
      </c>
      <c r="B876" s="38"/>
      <c r="C876" s="39"/>
      <c r="D876" s="39"/>
      <c r="E876" s="39"/>
      <c r="F876" s="39"/>
      <c r="G876" s="40"/>
      <c r="H876" s="39"/>
      <c r="I876" s="40" t="n">
        <f aca="false">IF(G876="",0,G876*S876)</f>
        <v>0</v>
      </c>
      <c r="J876" s="40"/>
      <c r="K876" s="40" t="n">
        <f aca="false">IF(G876="",0,G876-I876-IF(J876="",0,J876))</f>
        <v>0</v>
      </c>
      <c r="L876" s="40" t="n">
        <f aca="false">IF(O876="",0,IFERROR(INDEX(Purchases!I:I,MATCH(O876*1,Purchases!A:A,0)),0))</f>
        <v>0</v>
      </c>
      <c r="M876" s="40" t="n">
        <f aca="false">IF(G876="",0,K876-L876)</f>
        <v>0</v>
      </c>
      <c r="N876" s="48" t="str">
        <f aca="false">IFERROR(IF(G876="","",M876/G876),"")</f>
        <v/>
      </c>
      <c r="O876" s="39"/>
      <c r="P876" s="39"/>
      <c r="Q876" s="39"/>
      <c r="R876" s="39"/>
      <c r="S876" s="48" t="n">
        <f aca="false">IFERROR(VLOOKUP(H876,Settings!B14:C25,2,FALSE()),0)</f>
        <v>0</v>
      </c>
    </row>
    <row r="877" customFormat="false" ht="15" hidden="false" customHeight="false" outlineLevel="0" collapsed="false">
      <c r="A877" s="41" t="str">
        <f aca="false">IF(B877="","",ROW()-3)</f>
        <v/>
      </c>
      <c r="B877" s="42"/>
      <c r="G877" s="44"/>
      <c r="I877" s="44" t="n">
        <f aca="false">IF(G877="",0,G877*S877)</f>
        <v>0</v>
      </c>
      <c r="J877" s="44"/>
      <c r="K877" s="44" t="n">
        <f aca="false">IF(G877="",0,G877-I877-IF(J877="",0,J877))</f>
        <v>0</v>
      </c>
      <c r="L877" s="44" t="n">
        <f aca="false">IF(O877="",0,IFERROR(INDEX(Purchases!I:I,MATCH(O877*1,Purchases!A:A,0)),0))</f>
        <v>0</v>
      </c>
      <c r="M877" s="44" t="n">
        <f aca="false">IF(G877="",0,K877-L877)</f>
        <v>0</v>
      </c>
      <c r="N877" s="49" t="str">
        <f aca="false">IFERROR(IF(G877="","",M877/G877),"")</f>
        <v/>
      </c>
      <c r="S877" s="49" t="n">
        <f aca="false">IFERROR(VLOOKUP(H877,Settings!B14:C25,2,FALSE()),0)</f>
        <v>0</v>
      </c>
    </row>
    <row r="878" customFormat="false" ht="15" hidden="false" customHeight="false" outlineLevel="0" collapsed="false">
      <c r="A878" s="37" t="str">
        <f aca="false">IF(B878="","",ROW()-3)</f>
        <v/>
      </c>
      <c r="B878" s="38"/>
      <c r="C878" s="39"/>
      <c r="D878" s="39"/>
      <c r="E878" s="39"/>
      <c r="F878" s="39"/>
      <c r="G878" s="40"/>
      <c r="H878" s="39"/>
      <c r="I878" s="40" t="n">
        <f aca="false">IF(G878="",0,G878*S878)</f>
        <v>0</v>
      </c>
      <c r="J878" s="40"/>
      <c r="K878" s="40" t="n">
        <f aca="false">IF(G878="",0,G878-I878-IF(J878="",0,J878))</f>
        <v>0</v>
      </c>
      <c r="L878" s="40" t="n">
        <f aca="false">IF(O878="",0,IFERROR(INDEX(Purchases!I:I,MATCH(O878*1,Purchases!A:A,0)),0))</f>
        <v>0</v>
      </c>
      <c r="M878" s="40" t="n">
        <f aca="false">IF(G878="",0,K878-L878)</f>
        <v>0</v>
      </c>
      <c r="N878" s="48" t="str">
        <f aca="false">IFERROR(IF(G878="","",M878/G878),"")</f>
        <v/>
      </c>
      <c r="O878" s="39"/>
      <c r="P878" s="39"/>
      <c r="Q878" s="39"/>
      <c r="R878" s="39"/>
      <c r="S878" s="48" t="n">
        <f aca="false">IFERROR(VLOOKUP(H878,Settings!B14:C25,2,FALSE()),0)</f>
        <v>0</v>
      </c>
    </row>
    <row r="879" customFormat="false" ht="15" hidden="false" customHeight="false" outlineLevel="0" collapsed="false">
      <c r="A879" s="41" t="str">
        <f aca="false">IF(B879="","",ROW()-3)</f>
        <v/>
      </c>
      <c r="B879" s="42"/>
      <c r="G879" s="44"/>
      <c r="I879" s="44" t="n">
        <f aca="false">IF(G879="",0,G879*S879)</f>
        <v>0</v>
      </c>
      <c r="J879" s="44"/>
      <c r="K879" s="44" t="n">
        <f aca="false">IF(G879="",0,G879-I879-IF(J879="",0,J879))</f>
        <v>0</v>
      </c>
      <c r="L879" s="44" t="n">
        <f aca="false">IF(O879="",0,IFERROR(INDEX(Purchases!I:I,MATCH(O879*1,Purchases!A:A,0)),0))</f>
        <v>0</v>
      </c>
      <c r="M879" s="44" t="n">
        <f aca="false">IF(G879="",0,K879-L879)</f>
        <v>0</v>
      </c>
      <c r="N879" s="49" t="str">
        <f aca="false">IFERROR(IF(G879="","",M879/G879),"")</f>
        <v/>
      </c>
      <c r="S879" s="49" t="n">
        <f aca="false">IFERROR(VLOOKUP(H879,Settings!B14:C25,2,FALSE()),0)</f>
        <v>0</v>
      </c>
    </row>
    <row r="880" customFormat="false" ht="15" hidden="false" customHeight="false" outlineLevel="0" collapsed="false">
      <c r="A880" s="37" t="str">
        <f aca="false">IF(B880="","",ROW()-3)</f>
        <v/>
      </c>
      <c r="B880" s="38"/>
      <c r="C880" s="39"/>
      <c r="D880" s="39"/>
      <c r="E880" s="39"/>
      <c r="F880" s="39"/>
      <c r="G880" s="40"/>
      <c r="H880" s="39"/>
      <c r="I880" s="40" t="n">
        <f aca="false">IF(G880="",0,G880*S880)</f>
        <v>0</v>
      </c>
      <c r="J880" s="40"/>
      <c r="K880" s="40" t="n">
        <f aca="false">IF(G880="",0,G880-I880-IF(J880="",0,J880))</f>
        <v>0</v>
      </c>
      <c r="L880" s="40" t="n">
        <f aca="false">IF(O880="",0,IFERROR(INDEX(Purchases!I:I,MATCH(O880*1,Purchases!A:A,0)),0))</f>
        <v>0</v>
      </c>
      <c r="M880" s="40" t="n">
        <f aca="false">IF(G880="",0,K880-L880)</f>
        <v>0</v>
      </c>
      <c r="N880" s="48" t="str">
        <f aca="false">IFERROR(IF(G880="","",M880/G880),"")</f>
        <v/>
      </c>
      <c r="O880" s="39"/>
      <c r="P880" s="39"/>
      <c r="Q880" s="39"/>
      <c r="R880" s="39"/>
      <c r="S880" s="48" t="n">
        <f aca="false">IFERROR(VLOOKUP(H880,Settings!B14:C25,2,FALSE()),0)</f>
        <v>0</v>
      </c>
    </row>
    <row r="881" customFormat="false" ht="15" hidden="false" customHeight="false" outlineLevel="0" collapsed="false">
      <c r="A881" s="41" t="str">
        <f aca="false">IF(B881="","",ROW()-3)</f>
        <v/>
      </c>
      <c r="B881" s="42"/>
      <c r="G881" s="44"/>
      <c r="I881" s="44" t="n">
        <f aca="false">IF(G881="",0,G881*S881)</f>
        <v>0</v>
      </c>
      <c r="J881" s="44"/>
      <c r="K881" s="44" t="n">
        <f aca="false">IF(G881="",0,G881-I881-IF(J881="",0,J881))</f>
        <v>0</v>
      </c>
      <c r="L881" s="44" t="n">
        <f aca="false">IF(O881="",0,IFERROR(INDEX(Purchases!I:I,MATCH(O881*1,Purchases!A:A,0)),0))</f>
        <v>0</v>
      </c>
      <c r="M881" s="44" t="n">
        <f aca="false">IF(G881="",0,K881-L881)</f>
        <v>0</v>
      </c>
      <c r="N881" s="49" t="str">
        <f aca="false">IFERROR(IF(G881="","",M881/G881),"")</f>
        <v/>
      </c>
      <c r="S881" s="49" t="n">
        <f aca="false">IFERROR(VLOOKUP(H881,Settings!B14:C25,2,FALSE()),0)</f>
        <v>0</v>
      </c>
    </row>
    <row r="882" customFormat="false" ht="15" hidden="false" customHeight="false" outlineLevel="0" collapsed="false">
      <c r="A882" s="37" t="str">
        <f aca="false">IF(B882="","",ROW()-3)</f>
        <v/>
      </c>
      <c r="B882" s="38"/>
      <c r="C882" s="39"/>
      <c r="D882" s="39"/>
      <c r="E882" s="39"/>
      <c r="F882" s="39"/>
      <c r="G882" s="40"/>
      <c r="H882" s="39"/>
      <c r="I882" s="40" t="n">
        <f aca="false">IF(G882="",0,G882*S882)</f>
        <v>0</v>
      </c>
      <c r="J882" s="40"/>
      <c r="K882" s="40" t="n">
        <f aca="false">IF(G882="",0,G882-I882-IF(J882="",0,J882))</f>
        <v>0</v>
      </c>
      <c r="L882" s="40" t="n">
        <f aca="false">IF(O882="",0,IFERROR(INDEX(Purchases!I:I,MATCH(O882*1,Purchases!A:A,0)),0))</f>
        <v>0</v>
      </c>
      <c r="M882" s="40" t="n">
        <f aca="false">IF(G882="",0,K882-L882)</f>
        <v>0</v>
      </c>
      <c r="N882" s="48" t="str">
        <f aca="false">IFERROR(IF(G882="","",M882/G882),"")</f>
        <v/>
      </c>
      <c r="O882" s="39"/>
      <c r="P882" s="39"/>
      <c r="Q882" s="39"/>
      <c r="R882" s="39"/>
      <c r="S882" s="48" t="n">
        <f aca="false">IFERROR(VLOOKUP(H882,Settings!B14:C25,2,FALSE()),0)</f>
        <v>0</v>
      </c>
    </row>
    <row r="883" customFormat="false" ht="15" hidden="false" customHeight="false" outlineLevel="0" collapsed="false">
      <c r="A883" s="41" t="str">
        <f aca="false">IF(B883="","",ROW()-3)</f>
        <v/>
      </c>
      <c r="B883" s="42"/>
      <c r="G883" s="44"/>
      <c r="I883" s="44" t="n">
        <f aca="false">IF(G883="",0,G883*S883)</f>
        <v>0</v>
      </c>
      <c r="J883" s="44"/>
      <c r="K883" s="44" t="n">
        <f aca="false">IF(G883="",0,G883-I883-IF(J883="",0,J883))</f>
        <v>0</v>
      </c>
      <c r="L883" s="44" t="n">
        <f aca="false">IF(O883="",0,IFERROR(INDEX(Purchases!I:I,MATCH(O883*1,Purchases!A:A,0)),0))</f>
        <v>0</v>
      </c>
      <c r="M883" s="44" t="n">
        <f aca="false">IF(G883="",0,K883-L883)</f>
        <v>0</v>
      </c>
      <c r="N883" s="49" t="str">
        <f aca="false">IFERROR(IF(G883="","",M883/G883),"")</f>
        <v/>
      </c>
      <c r="S883" s="49" t="n">
        <f aca="false">IFERROR(VLOOKUP(H883,Settings!B14:C25,2,FALSE()),0)</f>
        <v>0</v>
      </c>
    </row>
    <row r="884" customFormat="false" ht="15" hidden="false" customHeight="false" outlineLevel="0" collapsed="false">
      <c r="A884" s="37" t="str">
        <f aca="false">IF(B884="","",ROW()-3)</f>
        <v/>
      </c>
      <c r="B884" s="38"/>
      <c r="C884" s="39"/>
      <c r="D884" s="39"/>
      <c r="E884" s="39"/>
      <c r="F884" s="39"/>
      <c r="G884" s="40"/>
      <c r="H884" s="39"/>
      <c r="I884" s="40" t="n">
        <f aca="false">IF(G884="",0,G884*S884)</f>
        <v>0</v>
      </c>
      <c r="J884" s="40"/>
      <c r="K884" s="40" t="n">
        <f aca="false">IF(G884="",0,G884-I884-IF(J884="",0,J884))</f>
        <v>0</v>
      </c>
      <c r="L884" s="40" t="n">
        <f aca="false">IF(O884="",0,IFERROR(INDEX(Purchases!I:I,MATCH(O884*1,Purchases!A:A,0)),0))</f>
        <v>0</v>
      </c>
      <c r="M884" s="40" t="n">
        <f aca="false">IF(G884="",0,K884-L884)</f>
        <v>0</v>
      </c>
      <c r="N884" s="48" t="str">
        <f aca="false">IFERROR(IF(G884="","",M884/G884),"")</f>
        <v/>
      </c>
      <c r="O884" s="39"/>
      <c r="P884" s="39"/>
      <c r="Q884" s="39"/>
      <c r="R884" s="39"/>
      <c r="S884" s="48" t="n">
        <f aca="false">IFERROR(VLOOKUP(H884,Settings!B14:C25,2,FALSE()),0)</f>
        <v>0</v>
      </c>
    </row>
    <row r="885" customFormat="false" ht="15" hidden="false" customHeight="false" outlineLevel="0" collapsed="false">
      <c r="A885" s="41" t="str">
        <f aca="false">IF(B885="","",ROW()-3)</f>
        <v/>
      </c>
      <c r="B885" s="42"/>
      <c r="G885" s="44"/>
      <c r="I885" s="44" t="n">
        <f aca="false">IF(G885="",0,G885*S885)</f>
        <v>0</v>
      </c>
      <c r="J885" s="44"/>
      <c r="K885" s="44" t="n">
        <f aca="false">IF(G885="",0,G885-I885-IF(J885="",0,J885))</f>
        <v>0</v>
      </c>
      <c r="L885" s="44" t="n">
        <f aca="false">IF(O885="",0,IFERROR(INDEX(Purchases!I:I,MATCH(O885*1,Purchases!A:A,0)),0))</f>
        <v>0</v>
      </c>
      <c r="M885" s="44" t="n">
        <f aca="false">IF(G885="",0,K885-L885)</f>
        <v>0</v>
      </c>
      <c r="N885" s="49" t="str">
        <f aca="false">IFERROR(IF(G885="","",M885/G885),"")</f>
        <v/>
      </c>
      <c r="S885" s="49" t="n">
        <f aca="false">IFERROR(VLOOKUP(H885,Settings!B14:C25,2,FALSE()),0)</f>
        <v>0</v>
      </c>
    </row>
    <row r="886" customFormat="false" ht="15" hidden="false" customHeight="false" outlineLevel="0" collapsed="false">
      <c r="A886" s="37" t="str">
        <f aca="false">IF(B886="","",ROW()-3)</f>
        <v/>
      </c>
      <c r="B886" s="38"/>
      <c r="C886" s="39"/>
      <c r="D886" s="39"/>
      <c r="E886" s="39"/>
      <c r="F886" s="39"/>
      <c r="G886" s="40"/>
      <c r="H886" s="39"/>
      <c r="I886" s="40" t="n">
        <f aca="false">IF(G886="",0,G886*S886)</f>
        <v>0</v>
      </c>
      <c r="J886" s="40"/>
      <c r="K886" s="40" t="n">
        <f aca="false">IF(G886="",0,G886-I886-IF(J886="",0,J886))</f>
        <v>0</v>
      </c>
      <c r="L886" s="40" t="n">
        <f aca="false">IF(O886="",0,IFERROR(INDEX(Purchases!I:I,MATCH(O886*1,Purchases!A:A,0)),0))</f>
        <v>0</v>
      </c>
      <c r="M886" s="40" t="n">
        <f aca="false">IF(G886="",0,K886-L886)</f>
        <v>0</v>
      </c>
      <c r="N886" s="48" t="str">
        <f aca="false">IFERROR(IF(G886="","",M886/G886),"")</f>
        <v/>
      </c>
      <c r="O886" s="39"/>
      <c r="P886" s="39"/>
      <c r="Q886" s="39"/>
      <c r="R886" s="39"/>
      <c r="S886" s="48" t="n">
        <f aca="false">IFERROR(VLOOKUP(H886,Settings!B14:C25,2,FALSE()),0)</f>
        <v>0</v>
      </c>
    </row>
    <row r="887" customFormat="false" ht="15" hidden="false" customHeight="false" outlineLevel="0" collapsed="false">
      <c r="A887" s="41" t="str">
        <f aca="false">IF(B887="","",ROW()-3)</f>
        <v/>
      </c>
      <c r="B887" s="42"/>
      <c r="G887" s="44"/>
      <c r="I887" s="44" t="n">
        <f aca="false">IF(G887="",0,G887*S887)</f>
        <v>0</v>
      </c>
      <c r="J887" s="44"/>
      <c r="K887" s="44" t="n">
        <f aca="false">IF(G887="",0,G887-I887-IF(J887="",0,J887))</f>
        <v>0</v>
      </c>
      <c r="L887" s="44" t="n">
        <f aca="false">IF(O887="",0,IFERROR(INDEX(Purchases!I:I,MATCH(O887*1,Purchases!A:A,0)),0))</f>
        <v>0</v>
      </c>
      <c r="M887" s="44" t="n">
        <f aca="false">IF(G887="",0,K887-L887)</f>
        <v>0</v>
      </c>
      <c r="N887" s="49" t="str">
        <f aca="false">IFERROR(IF(G887="","",M887/G887),"")</f>
        <v/>
      </c>
      <c r="S887" s="49" t="n">
        <f aca="false">IFERROR(VLOOKUP(H887,Settings!B14:C25,2,FALSE()),0)</f>
        <v>0</v>
      </c>
    </row>
    <row r="888" customFormat="false" ht="15" hidden="false" customHeight="false" outlineLevel="0" collapsed="false">
      <c r="A888" s="37" t="str">
        <f aca="false">IF(B888="","",ROW()-3)</f>
        <v/>
      </c>
      <c r="B888" s="38"/>
      <c r="C888" s="39"/>
      <c r="D888" s="39"/>
      <c r="E888" s="39"/>
      <c r="F888" s="39"/>
      <c r="G888" s="40"/>
      <c r="H888" s="39"/>
      <c r="I888" s="40" t="n">
        <f aca="false">IF(G888="",0,G888*S888)</f>
        <v>0</v>
      </c>
      <c r="J888" s="40"/>
      <c r="K888" s="40" t="n">
        <f aca="false">IF(G888="",0,G888-I888-IF(J888="",0,J888))</f>
        <v>0</v>
      </c>
      <c r="L888" s="40" t="n">
        <f aca="false">IF(O888="",0,IFERROR(INDEX(Purchases!I:I,MATCH(O888*1,Purchases!A:A,0)),0))</f>
        <v>0</v>
      </c>
      <c r="M888" s="40" t="n">
        <f aca="false">IF(G888="",0,K888-L888)</f>
        <v>0</v>
      </c>
      <c r="N888" s="48" t="str">
        <f aca="false">IFERROR(IF(G888="","",M888/G888),"")</f>
        <v/>
      </c>
      <c r="O888" s="39"/>
      <c r="P888" s="39"/>
      <c r="Q888" s="39"/>
      <c r="R888" s="39"/>
      <c r="S888" s="48" t="n">
        <f aca="false">IFERROR(VLOOKUP(H888,Settings!B14:C25,2,FALSE()),0)</f>
        <v>0</v>
      </c>
    </row>
    <row r="889" customFormat="false" ht="15" hidden="false" customHeight="false" outlineLevel="0" collapsed="false">
      <c r="A889" s="41" t="str">
        <f aca="false">IF(B889="","",ROW()-3)</f>
        <v/>
      </c>
      <c r="B889" s="42"/>
      <c r="G889" s="44"/>
      <c r="I889" s="44" t="n">
        <f aca="false">IF(G889="",0,G889*S889)</f>
        <v>0</v>
      </c>
      <c r="J889" s="44"/>
      <c r="K889" s="44" t="n">
        <f aca="false">IF(G889="",0,G889-I889-IF(J889="",0,J889))</f>
        <v>0</v>
      </c>
      <c r="L889" s="44" t="n">
        <f aca="false">IF(O889="",0,IFERROR(INDEX(Purchases!I:I,MATCH(O889*1,Purchases!A:A,0)),0))</f>
        <v>0</v>
      </c>
      <c r="M889" s="44" t="n">
        <f aca="false">IF(G889="",0,K889-L889)</f>
        <v>0</v>
      </c>
      <c r="N889" s="49" t="str">
        <f aca="false">IFERROR(IF(G889="","",M889/G889),"")</f>
        <v/>
      </c>
      <c r="S889" s="49" t="n">
        <f aca="false">IFERROR(VLOOKUP(H889,Settings!B14:C25,2,FALSE()),0)</f>
        <v>0</v>
      </c>
    </row>
    <row r="890" customFormat="false" ht="15" hidden="false" customHeight="false" outlineLevel="0" collapsed="false">
      <c r="A890" s="37" t="str">
        <f aca="false">IF(B890="","",ROW()-3)</f>
        <v/>
      </c>
      <c r="B890" s="38"/>
      <c r="C890" s="39"/>
      <c r="D890" s="39"/>
      <c r="E890" s="39"/>
      <c r="F890" s="39"/>
      <c r="G890" s="40"/>
      <c r="H890" s="39"/>
      <c r="I890" s="40" t="n">
        <f aca="false">IF(G890="",0,G890*S890)</f>
        <v>0</v>
      </c>
      <c r="J890" s="40"/>
      <c r="K890" s="40" t="n">
        <f aca="false">IF(G890="",0,G890-I890-IF(J890="",0,J890))</f>
        <v>0</v>
      </c>
      <c r="L890" s="40" t="n">
        <f aca="false">IF(O890="",0,IFERROR(INDEX(Purchases!I:I,MATCH(O890*1,Purchases!A:A,0)),0))</f>
        <v>0</v>
      </c>
      <c r="M890" s="40" t="n">
        <f aca="false">IF(G890="",0,K890-L890)</f>
        <v>0</v>
      </c>
      <c r="N890" s="48" t="str">
        <f aca="false">IFERROR(IF(G890="","",M890/G890),"")</f>
        <v/>
      </c>
      <c r="O890" s="39"/>
      <c r="P890" s="39"/>
      <c r="Q890" s="39"/>
      <c r="R890" s="39"/>
      <c r="S890" s="48" t="n">
        <f aca="false">IFERROR(VLOOKUP(H890,Settings!B14:C25,2,FALSE()),0)</f>
        <v>0</v>
      </c>
    </row>
    <row r="891" customFormat="false" ht="15" hidden="false" customHeight="false" outlineLevel="0" collapsed="false">
      <c r="A891" s="41" t="str">
        <f aca="false">IF(B891="","",ROW()-3)</f>
        <v/>
      </c>
      <c r="B891" s="42"/>
      <c r="G891" s="44"/>
      <c r="I891" s="44" t="n">
        <f aca="false">IF(G891="",0,G891*S891)</f>
        <v>0</v>
      </c>
      <c r="J891" s="44"/>
      <c r="K891" s="44" t="n">
        <f aca="false">IF(G891="",0,G891-I891-IF(J891="",0,J891))</f>
        <v>0</v>
      </c>
      <c r="L891" s="44" t="n">
        <f aca="false">IF(O891="",0,IFERROR(INDEX(Purchases!I:I,MATCH(O891*1,Purchases!A:A,0)),0))</f>
        <v>0</v>
      </c>
      <c r="M891" s="44" t="n">
        <f aca="false">IF(G891="",0,K891-L891)</f>
        <v>0</v>
      </c>
      <c r="N891" s="49" t="str">
        <f aca="false">IFERROR(IF(G891="","",M891/G891),"")</f>
        <v/>
      </c>
      <c r="S891" s="49" t="n">
        <f aca="false">IFERROR(VLOOKUP(H891,Settings!B14:C25,2,FALSE()),0)</f>
        <v>0</v>
      </c>
    </row>
    <row r="892" customFormat="false" ht="15" hidden="false" customHeight="false" outlineLevel="0" collapsed="false">
      <c r="A892" s="37" t="str">
        <f aca="false">IF(B892="","",ROW()-3)</f>
        <v/>
      </c>
      <c r="B892" s="38"/>
      <c r="C892" s="39"/>
      <c r="D892" s="39"/>
      <c r="E892" s="39"/>
      <c r="F892" s="39"/>
      <c r="G892" s="40"/>
      <c r="H892" s="39"/>
      <c r="I892" s="40" t="n">
        <f aca="false">IF(G892="",0,G892*S892)</f>
        <v>0</v>
      </c>
      <c r="J892" s="40"/>
      <c r="K892" s="40" t="n">
        <f aca="false">IF(G892="",0,G892-I892-IF(J892="",0,J892))</f>
        <v>0</v>
      </c>
      <c r="L892" s="40" t="n">
        <f aca="false">IF(O892="",0,IFERROR(INDEX(Purchases!I:I,MATCH(O892*1,Purchases!A:A,0)),0))</f>
        <v>0</v>
      </c>
      <c r="M892" s="40" t="n">
        <f aca="false">IF(G892="",0,K892-L892)</f>
        <v>0</v>
      </c>
      <c r="N892" s="48" t="str">
        <f aca="false">IFERROR(IF(G892="","",M892/G892),"")</f>
        <v/>
      </c>
      <c r="O892" s="39"/>
      <c r="P892" s="39"/>
      <c r="Q892" s="39"/>
      <c r="R892" s="39"/>
      <c r="S892" s="48" t="n">
        <f aca="false">IFERROR(VLOOKUP(H892,Settings!B14:C25,2,FALSE()),0)</f>
        <v>0</v>
      </c>
    </row>
    <row r="893" customFormat="false" ht="15" hidden="false" customHeight="false" outlineLevel="0" collapsed="false">
      <c r="A893" s="41" t="str">
        <f aca="false">IF(B893="","",ROW()-3)</f>
        <v/>
      </c>
      <c r="B893" s="42"/>
      <c r="G893" s="44"/>
      <c r="I893" s="44" t="n">
        <f aca="false">IF(G893="",0,G893*S893)</f>
        <v>0</v>
      </c>
      <c r="J893" s="44"/>
      <c r="K893" s="44" t="n">
        <f aca="false">IF(G893="",0,G893-I893-IF(J893="",0,J893))</f>
        <v>0</v>
      </c>
      <c r="L893" s="44" t="n">
        <f aca="false">IF(O893="",0,IFERROR(INDEX(Purchases!I:I,MATCH(O893*1,Purchases!A:A,0)),0))</f>
        <v>0</v>
      </c>
      <c r="M893" s="44" t="n">
        <f aca="false">IF(G893="",0,K893-L893)</f>
        <v>0</v>
      </c>
      <c r="N893" s="49" t="str">
        <f aca="false">IFERROR(IF(G893="","",M893/G893),"")</f>
        <v/>
      </c>
      <c r="S893" s="49" t="n">
        <f aca="false">IFERROR(VLOOKUP(H893,Settings!B14:C25,2,FALSE()),0)</f>
        <v>0</v>
      </c>
    </row>
    <row r="894" customFormat="false" ht="15" hidden="false" customHeight="false" outlineLevel="0" collapsed="false">
      <c r="A894" s="37" t="str">
        <f aca="false">IF(B894="","",ROW()-3)</f>
        <v/>
      </c>
      <c r="B894" s="38"/>
      <c r="C894" s="39"/>
      <c r="D894" s="39"/>
      <c r="E894" s="39"/>
      <c r="F894" s="39"/>
      <c r="G894" s="40"/>
      <c r="H894" s="39"/>
      <c r="I894" s="40" t="n">
        <f aca="false">IF(G894="",0,G894*S894)</f>
        <v>0</v>
      </c>
      <c r="J894" s="40"/>
      <c r="K894" s="40" t="n">
        <f aca="false">IF(G894="",0,G894-I894-IF(J894="",0,J894))</f>
        <v>0</v>
      </c>
      <c r="L894" s="40" t="n">
        <f aca="false">IF(O894="",0,IFERROR(INDEX(Purchases!I:I,MATCH(O894*1,Purchases!A:A,0)),0))</f>
        <v>0</v>
      </c>
      <c r="M894" s="40" t="n">
        <f aca="false">IF(G894="",0,K894-L894)</f>
        <v>0</v>
      </c>
      <c r="N894" s="48" t="str">
        <f aca="false">IFERROR(IF(G894="","",M894/G894),"")</f>
        <v/>
      </c>
      <c r="O894" s="39"/>
      <c r="P894" s="39"/>
      <c r="Q894" s="39"/>
      <c r="R894" s="39"/>
      <c r="S894" s="48" t="n">
        <f aca="false">IFERROR(VLOOKUP(H894,Settings!B14:C25,2,FALSE()),0)</f>
        <v>0</v>
      </c>
    </row>
    <row r="895" customFormat="false" ht="15" hidden="false" customHeight="false" outlineLevel="0" collapsed="false">
      <c r="A895" s="41" t="str">
        <f aca="false">IF(B895="","",ROW()-3)</f>
        <v/>
      </c>
      <c r="B895" s="42"/>
      <c r="G895" s="44"/>
      <c r="I895" s="44" t="n">
        <f aca="false">IF(G895="",0,G895*S895)</f>
        <v>0</v>
      </c>
      <c r="J895" s="44"/>
      <c r="K895" s="44" t="n">
        <f aca="false">IF(G895="",0,G895-I895-IF(J895="",0,J895))</f>
        <v>0</v>
      </c>
      <c r="L895" s="44" t="n">
        <f aca="false">IF(O895="",0,IFERROR(INDEX(Purchases!I:I,MATCH(O895*1,Purchases!A:A,0)),0))</f>
        <v>0</v>
      </c>
      <c r="M895" s="44" t="n">
        <f aca="false">IF(G895="",0,K895-L895)</f>
        <v>0</v>
      </c>
      <c r="N895" s="49" t="str">
        <f aca="false">IFERROR(IF(G895="","",M895/G895),"")</f>
        <v/>
      </c>
      <c r="S895" s="49" t="n">
        <f aca="false">IFERROR(VLOOKUP(H895,Settings!B14:C25,2,FALSE()),0)</f>
        <v>0</v>
      </c>
    </row>
    <row r="896" customFormat="false" ht="15" hidden="false" customHeight="false" outlineLevel="0" collapsed="false">
      <c r="A896" s="37" t="str">
        <f aca="false">IF(B896="","",ROW()-3)</f>
        <v/>
      </c>
      <c r="B896" s="38"/>
      <c r="C896" s="39"/>
      <c r="D896" s="39"/>
      <c r="E896" s="39"/>
      <c r="F896" s="39"/>
      <c r="G896" s="40"/>
      <c r="H896" s="39"/>
      <c r="I896" s="40" t="n">
        <f aca="false">IF(G896="",0,G896*S896)</f>
        <v>0</v>
      </c>
      <c r="J896" s="40"/>
      <c r="K896" s="40" t="n">
        <f aca="false">IF(G896="",0,G896-I896-IF(J896="",0,J896))</f>
        <v>0</v>
      </c>
      <c r="L896" s="40" t="n">
        <f aca="false">IF(O896="",0,IFERROR(INDEX(Purchases!I:I,MATCH(O896*1,Purchases!A:A,0)),0))</f>
        <v>0</v>
      </c>
      <c r="M896" s="40" t="n">
        <f aca="false">IF(G896="",0,K896-L896)</f>
        <v>0</v>
      </c>
      <c r="N896" s="48" t="str">
        <f aca="false">IFERROR(IF(G896="","",M896/G896),"")</f>
        <v/>
      </c>
      <c r="O896" s="39"/>
      <c r="P896" s="39"/>
      <c r="Q896" s="39"/>
      <c r="R896" s="39"/>
      <c r="S896" s="48" t="n">
        <f aca="false">IFERROR(VLOOKUP(H896,Settings!B14:C25,2,FALSE()),0)</f>
        <v>0</v>
      </c>
    </row>
    <row r="897" customFormat="false" ht="15" hidden="false" customHeight="false" outlineLevel="0" collapsed="false">
      <c r="A897" s="41" t="str">
        <f aca="false">IF(B897="","",ROW()-3)</f>
        <v/>
      </c>
      <c r="B897" s="42"/>
      <c r="G897" s="44"/>
      <c r="I897" s="44" t="n">
        <f aca="false">IF(G897="",0,G897*S897)</f>
        <v>0</v>
      </c>
      <c r="J897" s="44"/>
      <c r="K897" s="44" t="n">
        <f aca="false">IF(G897="",0,G897-I897-IF(J897="",0,J897))</f>
        <v>0</v>
      </c>
      <c r="L897" s="44" t="n">
        <f aca="false">IF(O897="",0,IFERROR(INDEX(Purchases!I:I,MATCH(O897*1,Purchases!A:A,0)),0))</f>
        <v>0</v>
      </c>
      <c r="M897" s="44" t="n">
        <f aca="false">IF(G897="",0,K897-L897)</f>
        <v>0</v>
      </c>
      <c r="N897" s="49" t="str">
        <f aca="false">IFERROR(IF(G897="","",M897/G897),"")</f>
        <v/>
      </c>
      <c r="S897" s="49" t="n">
        <f aca="false">IFERROR(VLOOKUP(H897,Settings!B14:C25,2,FALSE()),0)</f>
        <v>0</v>
      </c>
    </row>
    <row r="898" customFormat="false" ht="15" hidden="false" customHeight="false" outlineLevel="0" collapsed="false">
      <c r="A898" s="37" t="str">
        <f aca="false">IF(B898="","",ROW()-3)</f>
        <v/>
      </c>
      <c r="B898" s="38"/>
      <c r="C898" s="39"/>
      <c r="D898" s="39"/>
      <c r="E898" s="39"/>
      <c r="F898" s="39"/>
      <c r="G898" s="40"/>
      <c r="H898" s="39"/>
      <c r="I898" s="40" t="n">
        <f aca="false">IF(G898="",0,G898*S898)</f>
        <v>0</v>
      </c>
      <c r="J898" s="40"/>
      <c r="K898" s="40" t="n">
        <f aca="false">IF(G898="",0,G898-I898-IF(J898="",0,J898))</f>
        <v>0</v>
      </c>
      <c r="L898" s="40" t="n">
        <f aca="false">IF(O898="",0,IFERROR(INDEX(Purchases!I:I,MATCH(O898*1,Purchases!A:A,0)),0))</f>
        <v>0</v>
      </c>
      <c r="M898" s="40" t="n">
        <f aca="false">IF(G898="",0,K898-L898)</f>
        <v>0</v>
      </c>
      <c r="N898" s="48" t="str">
        <f aca="false">IFERROR(IF(G898="","",M898/G898),"")</f>
        <v/>
      </c>
      <c r="O898" s="39"/>
      <c r="P898" s="39"/>
      <c r="Q898" s="39"/>
      <c r="R898" s="39"/>
      <c r="S898" s="48" t="n">
        <f aca="false">IFERROR(VLOOKUP(H898,Settings!B14:C25,2,FALSE()),0)</f>
        <v>0</v>
      </c>
    </row>
    <row r="899" customFormat="false" ht="15" hidden="false" customHeight="false" outlineLevel="0" collapsed="false">
      <c r="A899" s="41" t="str">
        <f aca="false">IF(B899="","",ROW()-3)</f>
        <v/>
      </c>
      <c r="B899" s="42"/>
      <c r="G899" s="44"/>
      <c r="I899" s="44" t="n">
        <f aca="false">IF(G899="",0,G899*S899)</f>
        <v>0</v>
      </c>
      <c r="J899" s="44"/>
      <c r="K899" s="44" t="n">
        <f aca="false">IF(G899="",0,G899-I899-IF(J899="",0,J899))</f>
        <v>0</v>
      </c>
      <c r="L899" s="44" t="n">
        <f aca="false">IF(O899="",0,IFERROR(INDEX(Purchases!I:I,MATCH(O899*1,Purchases!A:A,0)),0))</f>
        <v>0</v>
      </c>
      <c r="M899" s="44" t="n">
        <f aca="false">IF(G899="",0,K899-L899)</f>
        <v>0</v>
      </c>
      <c r="N899" s="49" t="str">
        <f aca="false">IFERROR(IF(G899="","",M899/G899),"")</f>
        <v/>
      </c>
      <c r="S899" s="49" t="n">
        <f aca="false">IFERROR(VLOOKUP(H899,Settings!B14:C25,2,FALSE()),0)</f>
        <v>0</v>
      </c>
    </row>
    <row r="900" customFormat="false" ht="15" hidden="false" customHeight="false" outlineLevel="0" collapsed="false">
      <c r="A900" s="37" t="str">
        <f aca="false">IF(B900="","",ROW()-3)</f>
        <v/>
      </c>
      <c r="B900" s="38"/>
      <c r="C900" s="39"/>
      <c r="D900" s="39"/>
      <c r="E900" s="39"/>
      <c r="F900" s="39"/>
      <c r="G900" s="40"/>
      <c r="H900" s="39"/>
      <c r="I900" s="40" t="n">
        <f aca="false">IF(G900="",0,G900*S900)</f>
        <v>0</v>
      </c>
      <c r="J900" s="40"/>
      <c r="K900" s="40" t="n">
        <f aca="false">IF(G900="",0,G900-I900-IF(J900="",0,J900))</f>
        <v>0</v>
      </c>
      <c r="L900" s="40" t="n">
        <f aca="false">IF(O900="",0,IFERROR(INDEX(Purchases!I:I,MATCH(O900*1,Purchases!A:A,0)),0))</f>
        <v>0</v>
      </c>
      <c r="M900" s="40" t="n">
        <f aca="false">IF(G900="",0,K900-L900)</f>
        <v>0</v>
      </c>
      <c r="N900" s="48" t="str">
        <f aca="false">IFERROR(IF(G900="","",M900/G900),"")</f>
        <v/>
      </c>
      <c r="O900" s="39"/>
      <c r="P900" s="39"/>
      <c r="Q900" s="39"/>
      <c r="R900" s="39"/>
      <c r="S900" s="48" t="n">
        <f aca="false">IFERROR(VLOOKUP(H900,Settings!B14:C25,2,FALSE()),0)</f>
        <v>0</v>
      </c>
    </row>
    <row r="901" customFormat="false" ht="15" hidden="false" customHeight="false" outlineLevel="0" collapsed="false">
      <c r="A901" s="41" t="str">
        <f aca="false">IF(B901="","",ROW()-3)</f>
        <v/>
      </c>
      <c r="B901" s="42"/>
      <c r="G901" s="44"/>
      <c r="I901" s="44" t="n">
        <f aca="false">IF(G901="",0,G901*S901)</f>
        <v>0</v>
      </c>
      <c r="J901" s="44"/>
      <c r="K901" s="44" t="n">
        <f aca="false">IF(G901="",0,G901-I901-IF(J901="",0,J901))</f>
        <v>0</v>
      </c>
      <c r="L901" s="44" t="n">
        <f aca="false">IF(O901="",0,IFERROR(INDEX(Purchases!I:I,MATCH(O901*1,Purchases!A:A,0)),0))</f>
        <v>0</v>
      </c>
      <c r="M901" s="44" t="n">
        <f aca="false">IF(G901="",0,K901-L901)</f>
        <v>0</v>
      </c>
      <c r="N901" s="49" t="str">
        <f aca="false">IFERROR(IF(G901="","",M901/G901),"")</f>
        <v/>
      </c>
      <c r="S901" s="49" t="n">
        <f aca="false">IFERROR(VLOOKUP(H901,Settings!B14:C25,2,FALSE()),0)</f>
        <v>0</v>
      </c>
    </row>
    <row r="902" customFormat="false" ht="15" hidden="false" customHeight="false" outlineLevel="0" collapsed="false">
      <c r="A902" s="37" t="str">
        <f aca="false">IF(B902="","",ROW()-3)</f>
        <v/>
      </c>
      <c r="B902" s="38"/>
      <c r="C902" s="39"/>
      <c r="D902" s="39"/>
      <c r="E902" s="39"/>
      <c r="F902" s="39"/>
      <c r="G902" s="40"/>
      <c r="H902" s="39"/>
      <c r="I902" s="40" t="n">
        <f aca="false">IF(G902="",0,G902*S902)</f>
        <v>0</v>
      </c>
      <c r="J902" s="40"/>
      <c r="K902" s="40" t="n">
        <f aca="false">IF(G902="",0,G902-I902-IF(J902="",0,J902))</f>
        <v>0</v>
      </c>
      <c r="L902" s="40" t="n">
        <f aca="false">IF(O902="",0,IFERROR(INDEX(Purchases!I:I,MATCH(O902*1,Purchases!A:A,0)),0))</f>
        <v>0</v>
      </c>
      <c r="M902" s="40" t="n">
        <f aca="false">IF(G902="",0,K902-L902)</f>
        <v>0</v>
      </c>
      <c r="N902" s="48" t="str">
        <f aca="false">IFERROR(IF(G902="","",M902/G902),"")</f>
        <v/>
      </c>
      <c r="O902" s="39"/>
      <c r="P902" s="39"/>
      <c r="Q902" s="39"/>
      <c r="R902" s="39"/>
      <c r="S902" s="48" t="n">
        <f aca="false">IFERROR(VLOOKUP(H902,Settings!B14:C25,2,FALSE()),0)</f>
        <v>0</v>
      </c>
    </row>
    <row r="903" customFormat="false" ht="15" hidden="false" customHeight="false" outlineLevel="0" collapsed="false">
      <c r="A903" s="41" t="str">
        <f aca="false">IF(B903="","",ROW()-3)</f>
        <v/>
      </c>
      <c r="B903" s="42"/>
      <c r="G903" s="44"/>
      <c r="I903" s="44" t="n">
        <f aca="false">IF(G903="",0,G903*S903)</f>
        <v>0</v>
      </c>
      <c r="J903" s="44"/>
      <c r="K903" s="44" t="n">
        <f aca="false">IF(G903="",0,G903-I903-IF(J903="",0,J903))</f>
        <v>0</v>
      </c>
      <c r="L903" s="44" t="n">
        <f aca="false">IF(O903="",0,IFERROR(INDEX(Purchases!I:I,MATCH(O903*1,Purchases!A:A,0)),0))</f>
        <v>0</v>
      </c>
      <c r="M903" s="44" t="n">
        <f aca="false">IF(G903="",0,K903-L903)</f>
        <v>0</v>
      </c>
      <c r="N903" s="49" t="str">
        <f aca="false">IFERROR(IF(G903="","",M903/G903),"")</f>
        <v/>
      </c>
      <c r="S903" s="49" t="n">
        <f aca="false">IFERROR(VLOOKUP(H903,Settings!B14:C25,2,FALSE()),0)</f>
        <v>0</v>
      </c>
    </row>
    <row r="904" customFormat="false" ht="15" hidden="false" customHeight="false" outlineLevel="0" collapsed="false">
      <c r="A904" s="37" t="str">
        <f aca="false">IF(B904="","",ROW()-3)</f>
        <v/>
      </c>
      <c r="B904" s="38"/>
      <c r="C904" s="39"/>
      <c r="D904" s="39"/>
      <c r="E904" s="39"/>
      <c r="F904" s="39"/>
      <c r="G904" s="40"/>
      <c r="H904" s="39"/>
      <c r="I904" s="40" t="n">
        <f aca="false">IF(G904="",0,G904*S904)</f>
        <v>0</v>
      </c>
      <c r="J904" s="40"/>
      <c r="K904" s="40" t="n">
        <f aca="false">IF(G904="",0,G904-I904-IF(J904="",0,J904))</f>
        <v>0</v>
      </c>
      <c r="L904" s="40" t="n">
        <f aca="false">IF(O904="",0,IFERROR(INDEX(Purchases!I:I,MATCH(O904*1,Purchases!A:A,0)),0))</f>
        <v>0</v>
      </c>
      <c r="M904" s="40" t="n">
        <f aca="false">IF(G904="",0,K904-L904)</f>
        <v>0</v>
      </c>
      <c r="N904" s="48" t="str">
        <f aca="false">IFERROR(IF(G904="","",M904/G904),"")</f>
        <v/>
      </c>
      <c r="O904" s="39"/>
      <c r="P904" s="39"/>
      <c r="Q904" s="39"/>
      <c r="R904" s="39"/>
      <c r="S904" s="48" t="n">
        <f aca="false">IFERROR(VLOOKUP(H904,Settings!B14:C25,2,FALSE()),0)</f>
        <v>0</v>
      </c>
    </row>
    <row r="905" customFormat="false" ht="15" hidden="false" customHeight="false" outlineLevel="0" collapsed="false">
      <c r="A905" s="41" t="str">
        <f aca="false">IF(B905="","",ROW()-3)</f>
        <v/>
      </c>
      <c r="B905" s="42"/>
      <c r="G905" s="44"/>
      <c r="I905" s="44" t="n">
        <f aca="false">IF(G905="",0,G905*S905)</f>
        <v>0</v>
      </c>
      <c r="J905" s="44"/>
      <c r="K905" s="44" t="n">
        <f aca="false">IF(G905="",0,G905-I905-IF(J905="",0,J905))</f>
        <v>0</v>
      </c>
      <c r="L905" s="44" t="n">
        <f aca="false">IF(O905="",0,IFERROR(INDEX(Purchases!I:I,MATCH(O905*1,Purchases!A:A,0)),0))</f>
        <v>0</v>
      </c>
      <c r="M905" s="44" t="n">
        <f aca="false">IF(G905="",0,K905-L905)</f>
        <v>0</v>
      </c>
      <c r="N905" s="49" t="str">
        <f aca="false">IFERROR(IF(G905="","",M905/G905),"")</f>
        <v/>
      </c>
      <c r="S905" s="49" t="n">
        <f aca="false">IFERROR(VLOOKUP(H905,Settings!B14:C25,2,FALSE()),0)</f>
        <v>0</v>
      </c>
    </row>
    <row r="906" customFormat="false" ht="15" hidden="false" customHeight="false" outlineLevel="0" collapsed="false">
      <c r="A906" s="37" t="str">
        <f aca="false">IF(B906="","",ROW()-3)</f>
        <v/>
      </c>
      <c r="B906" s="38"/>
      <c r="C906" s="39"/>
      <c r="D906" s="39"/>
      <c r="E906" s="39"/>
      <c r="F906" s="39"/>
      <c r="G906" s="40"/>
      <c r="H906" s="39"/>
      <c r="I906" s="40" t="n">
        <f aca="false">IF(G906="",0,G906*S906)</f>
        <v>0</v>
      </c>
      <c r="J906" s="40"/>
      <c r="K906" s="40" t="n">
        <f aca="false">IF(G906="",0,G906-I906-IF(J906="",0,J906))</f>
        <v>0</v>
      </c>
      <c r="L906" s="40" t="n">
        <f aca="false">IF(O906="",0,IFERROR(INDEX(Purchases!I:I,MATCH(O906*1,Purchases!A:A,0)),0))</f>
        <v>0</v>
      </c>
      <c r="M906" s="40" t="n">
        <f aca="false">IF(G906="",0,K906-L906)</f>
        <v>0</v>
      </c>
      <c r="N906" s="48" t="str">
        <f aca="false">IFERROR(IF(G906="","",M906/G906),"")</f>
        <v/>
      </c>
      <c r="O906" s="39"/>
      <c r="P906" s="39"/>
      <c r="Q906" s="39"/>
      <c r="R906" s="39"/>
      <c r="S906" s="48" t="n">
        <f aca="false">IFERROR(VLOOKUP(H906,Settings!B14:C25,2,FALSE()),0)</f>
        <v>0</v>
      </c>
    </row>
    <row r="907" customFormat="false" ht="15" hidden="false" customHeight="false" outlineLevel="0" collapsed="false">
      <c r="A907" s="41" t="str">
        <f aca="false">IF(B907="","",ROW()-3)</f>
        <v/>
      </c>
      <c r="B907" s="42"/>
      <c r="G907" s="44"/>
      <c r="I907" s="44" t="n">
        <f aca="false">IF(G907="",0,G907*S907)</f>
        <v>0</v>
      </c>
      <c r="J907" s="44"/>
      <c r="K907" s="44" t="n">
        <f aca="false">IF(G907="",0,G907-I907-IF(J907="",0,J907))</f>
        <v>0</v>
      </c>
      <c r="L907" s="44" t="n">
        <f aca="false">IF(O907="",0,IFERROR(INDEX(Purchases!I:I,MATCH(O907*1,Purchases!A:A,0)),0))</f>
        <v>0</v>
      </c>
      <c r="M907" s="44" t="n">
        <f aca="false">IF(G907="",0,K907-L907)</f>
        <v>0</v>
      </c>
      <c r="N907" s="49" t="str">
        <f aca="false">IFERROR(IF(G907="","",M907/G907),"")</f>
        <v/>
      </c>
      <c r="S907" s="49" t="n">
        <f aca="false">IFERROR(VLOOKUP(H907,Settings!B14:C25,2,FALSE()),0)</f>
        <v>0</v>
      </c>
    </row>
    <row r="908" customFormat="false" ht="15" hidden="false" customHeight="false" outlineLevel="0" collapsed="false">
      <c r="A908" s="37" t="str">
        <f aca="false">IF(B908="","",ROW()-3)</f>
        <v/>
      </c>
      <c r="B908" s="38"/>
      <c r="C908" s="39"/>
      <c r="D908" s="39"/>
      <c r="E908" s="39"/>
      <c r="F908" s="39"/>
      <c r="G908" s="40"/>
      <c r="H908" s="39"/>
      <c r="I908" s="40" t="n">
        <f aca="false">IF(G908="",0,G908*S908)</f>
        <v>0</v>
      </c>
      <c r="J908" s="40"/>
      <c r="K908" s="40" t="n">
        <f aca="false">IF(G908="",0,G908-I908-IF(J908="",0,J908))</f>
        <v>0</v>
      </c>
      <c r="L908" s="40" t="n">
        <f aca="false">IF(O908="",0,IFERROR(INDEX(Purchases!I:I,MATCH(O908*1,Purchases!A:A,0)),0))</f>
        <v>0</v>
      </c>
      <c r="M908" s="40" t="n">
        <f aca="false">IF(G908="",0,K908-L908)</f>
        <v>0</v>
      </c>
      <c r="N908" s="48" t="str">
        <f aca="false">IFERROR(IF(G908="","",M908/G908),"")</f>
        <v/>
      </c>
      <c r="O908" s="39"/>
      <c r="P908" s="39"/>
      <c r="Q908" s="39"/>
      <c r="R908" s="39"/>
      <c r="S908" s="48" t="n">
        <f aca="false">IFERROR(VLOOKUP(H908,Settings!B14:C25,2,FALSE()),0)</f>
        <v>0</v>
      </c>
    </row>
    <row r="909" customFormat="false" ht="15" hidden="false" customHeight="false" outlineLevel="0" collapsed="false">
      <c r="A909" s="41" t="str">
        <f aca="false">IF(B909="","",ROW()-3)</f>
        <v/>
      </c>
      <c r="B909" s="42"/>
      <c r="G909" s="44"/>
      <c r="I909" s="44" t="n">
        <f aca="false">IF(G909="",0,G909*S909)</f>
        <v>0</v>
      </c>
      <c r="J909" s="44"/>
      <c r="K909" s="44" t="n">
        <f aca="false">IF(G909="",0,G909-I909-IF(J909="",0,J909))</f>
        <v>0</v>
      </c>
      <c r="L909" s="44" t="n">
        <f aca="false">IF(O909="",0,IFERROR(INDEX(Purchases!I:I,MATCH(O909*1,Purchases!A:A,0)),0))</f>
        <v>0</v>
      </c>
      <c r="M909" s="44" t="n">
        <f aca="false">IF(G909="",0,K909-L909)</f>
        <v>0</v>
      </c>
      <c r="N909" s="49" t="str">
        <f aca="false">IFERROR(IF(G909="","",M909/G909),"")</f>
        <v/>
      </c>
      <c r="S909" s="49" t="n">
        <f aca="false">IFERROR(VLOOKUP(H909,Settings!B14:C25,2,FALSE()),0)</f>
        <v>0</v>
      </c>
    </row>
    <row r="910" customFormat="false" ht="15" hidden="false" customHeight="false" outlineLevel="0" collapsed="false">
      <c r="A910" s="37" t="str">
        <f aca="false">IF(B910="","",ROW()-3)</f>
        <v/>
      </c>
      <c r="B910" s="38"/>
      <c r="C910" s="39"/>
      <c r="D910" s="39"/>
      <c r="E910" s="39"/>
      <c r="F910" s="39"/>
      <c r="G910" s="40"/>
      <c r="H910" s="39"/>
      <c r="I910" s="40" t="n">
        <f aca="false">IF(G910="",0,G910*S910)</f>
        <v>0</v>
      </c>
      <c r="J910" s="40"/>
      <c r="K910" s="40" t="n">
        <f aca="false">IF(G910="",0,G910-I910-IF(J910="",0,J910))</f>
        <v>0</v>
      </c>
      <c r="L910" s="40" t="n">
        <f aca="false">IF(O910="",0,IFERROR(INDEX(Purchases!I:I,MATCH(O910*1,Purchases!A:A,0)),0))</f>
        <v>0</v>
      </c>
      <c r="M910" s="40" t="n">
        <f aca="false">IF(G910="",0,K910-L910)</f>
        <v>0</v>
      </c>
      <c r="N910" s="48" t="str">
        <f aca="false">IFERROR(IF(G910="","",M910/G910),"")</f>
        <v/>
      </c>
      <c r="O910" s="39"/>
      <c r="P910" s="39"/>
      <c r="Q910" s="39"/>
      <c r="R910" s="39"/>
      <c r="S910" s="48" t="n">
        <f aca="false">IFERROR(VLOOKUP(H910,Settings!B14:C25,2,FALSE()),0)</f>
        <v>0</v>
      </c>
    </row>
    <row r="911" customFormat="false" ht="15" hidden="false" customHeight="false" outlineLevel="0" collapsed="false">
      <c r="A911" s="41" t="str">
        <f aca="false">IF(B911="","",ROW()-3)</f>
        <v/>
      </c>
      <c r="B911" s="42"/>
      <c r="G911" s="44"/>
      <c r="I911" s="44" t="n">
        <f aca="false">IF(G911="",0,G911*S911)</f>
        <v>0</v>
      </c>
      <c r="J911" s="44"/>
      <c r="K911" s="44" t="n">
        <f aca="false">IF(G911="",0,G911-I911-IF(J911="",0,J911))</f>
        <v>0</v>
      </c>
      <c r="L911" s="44" t="n">
        <f aca="false">IF(O911="",0,IFERROR(INDEX(Purchases!I:I,MATCH(O911*1,Purchases!A:A,0)),0))</f>
        <v>0</v>
      </c>
      <c r="M911" s="44" t="n">
        <f aca="false">IF(G911="",0,K911-L911)</f>
        <v>0</v>
      </c>
      <c r="N911" s="49" t="str">
        <f aca="false">IFERROR(IF(G911="","",M911/G911),"")</f>
        <v/>
      </c>
      <c r="S911" s="49" t="n">
        <f aca="false">IFERROR(VLOOKUP(H911,Settings!B14:C25,2,FALSE()),0)</f>
        <v>0</v>
      </c>
    </row>
    <row r="912" customFormat="false" ht="15" hidden="false" customHeight="false" outlineLevel="0" collapsed="false">
      <c r="A912" s="37" t="str">
        <f aca="false">IF(B912="","",ROW()-3)</f>
        <v/>
      </c>
      <c r="B912" s="38"/>
      <c r="C912" s="39"/>
      <c r="D912" s="39"/>
      <c r="E912" s="39"/>
      <c r="F912" s="39"/>
      <c r="G912" s="40"/>
      <c r="H912" s="39"/>
      <c r="I912" s="40" t="n">
        <f aca="false">IF(G912="",0,G912*S912)</f>
        <v>0</v>
      </c>
      <c r="J912" s="40"/>
      <c r="K912" s="40" t="n">
        <f aca="false">IF(G912="",0,G912-I912-IF(J912="",0,J912))</f>
        <v>0</v>
      </c>
      <c r="L912" s="40" t="n">
        <f aca="false">IF(O912="",0,IFERROR(INDEX(Purchases!I:I,MATCH(O912*1,Purchases!A:A,0)),0))</f>
        <v>0</v>
      </c>
      <c r="M912" s="40" t="n">
        <f aca="false">IF(G912="",0,K912-L912)</f>
        <v>0</v>
      </c>
      <c r="N912" s="48" t="str">
        <f aca="false">IFERROR(IF(G912="","",M912/G912),"")</f>
        <v/>
      </c>
      <c r="O912" s="39"/>
      <c r="P912" s="39"/>
      <c r="Q912" s="39"/>
      <c r="R912" s="39"/>
      <c r="S912" s="48" t="n">
        <f aca="false">IFERROR(VLOOKUP(H912,Settings!B14:C25,2,FALSE()),0)</f>
        <v>0</v>
      </c>
    </row>
    <row r="913" customFormat="false" ht="15" hidden="false" customHeight="false" outlineLevel="0" collapsed="false">
      <c r="A913" s="41" t="str">
        <f aca="false">IF(B913="","",ROW()-3)</f>
        <v/>
      </c>
      <c r="B913" s="42"/>
      <c r="G913" s="44"/>
      <c r="I913" s="44" t="n">
        <f aca="false">IF(G913="",0,G913*S913)</f>
        <v>0</v>
      </c>
      <c r="J913" s="44"/>
      <c r="K913" s="44" t="n">
        <f aca="false">IF(G913="",0,G913-I913-IF(J913="",0,J913))</f>
        <v>0</v>
      </c>
      <c r="L913" s="44" t="n">
        <f aca="false">IF(O913="",0,IFERROR(INDEX(Purchases!I:I,MATCH(O913*1,Purchases!A:A,0)),0))</f>
        <v>0</v>
      </c>
      <c r="M913" s="44" t="n">
        <f aca="false">IF(G913="",0,K913-L913)</f>
        <v>0</v>
      </c>
      <c r="N913" s="49" t="str">
        <f aca="false">IFERROR(IF(G913="","",M913/G913),"")</f>
        <v/>
      </c>
      <c r="S913" s="49" t="n">
        <f aca="false">IFERROR(VLOOKUP(H913,Settings!B14:C25,2,FALSE()),0)</f>
        <v>0</v>
      </c>
    </row>
    <row r="914" customFormat="false" ht="15" hidden="false" customHeight="false" outlineLevel="0" collapsed="false">
      <c r="A914" s="37" t="str">
        <f aca="false">IF(B914="","",ROW()-3)</f>
        <v/>
      </c>
      <c r="B914" s="38"/>
      <c r="C914" s="39"/>
      <c r="D914" s="39"/>
      <c r="E914" s="39"/>
      <c r="F914" s="39"/>
      <c r="G914" s="40"/>
      <c r="H914" s="39"/>
      <c r="I914" s="40" t="n">
        <f aca="false">IF(G914="",0,G914*S914)</f>
        <v>0</v>
      </c>
      <c r="J914" s="40"/>
      <c r="K914" s="40" t="n">
        <f aca="false">IF(G914="",0,G914-I914-IF(J914="",0,J914))</f>
        <v>0</v>
      </c>
      <c r="L914" s="40" t="n">
        <f aca="false">IF(O914="",0,IFERROR(INDEX(Purchases!I:I,MATCH(O914*1,Purchases!A:A,0)),0))</f>
        <v>0</v>
      </c>
      <c r="M914" s="40" t="n">
        <f aca="false">IF(G914="",0,K914-L914)</f>
        <v>0</v>
      </c>
      <c r="N914" s="48" t="str">
        <f aca="false">IFERROR(IF(G914="","",M914/G914),"")</f>
        <v/>
      </c>
      <c r="O914" s="39"/>
      <c r="P914" s="39"/>
      <c r="Q914" s="39"/>
      <c r="R914" s="39"/>
      <c r="S914" s="48" t="n">
        <f aca="false">IFERROR(VLOOKUP(H914,Settings!B14:C25,2,FALSE()),0)</f>
        <v>0</v>
      </c>
    </row>
    <row r="915" customFormat="false" ht="15" hidden="false" customHeight="false" outlineLevel="0" collapsed="false">
      <c r="A915" s="41" t="str">
        <f aca="false">IF(B915="","",ROW()-3)</f>
        <v/>
      </c>
      <c r="B915" s="42"/>
      <c r="G915" s="44"/>
      <c r="I915" s="44" t="n">
        <f aca="false">IF(G915="",0,G915*S915)</f>
        <v>0</v>
      </c>
      <c r="J915" s="44"/>
      <c r="K915" s="44" t="n">
        <f aca="false">IF(G915="",0,G915-I915-IF(J915="",0,J915))</f>
        <v>0</v>
      </c>
      <c r="L915" s="44" t="n">
        <f aca="false">IF(O915="",0,IFERROR(INDEX(Purchases!I:I,MATCH(O915*1,Purchases!A:A,0)),0))</f>
        <v>0</v>
      </c>
      <c r="M915" s="44" t="n">
        <f aca="false">IF(G915="",0,K915-L915)</f>
        <v>0</v>
      </c>
      <c r="N915" s="49" t="str">
        <f aca="false">IFERROR(IF(G915="","",M915/G915),"")</f>
        <v/>
      </c>
      <c r="S915" s="49" t="n">
        <f aca="false">IFERROR(VLOOKUP(H915,Settings!B14:C25,2,FALSE()),0)</f>
        <v>0</v>
      </c>
    </row>
    <row r="916" customFormat="false" ht="15" hidden="false" customHeight="false" outlineLevel="0" collapsed="false">
      <c r="A916" s="37" t="str">
        <f aca="false">IF(B916="","",ROW()-3)</f>
        <v/>
      </c>
      <c r="B916" s="38"/>
      <c r="C916" s="39"/>
      <c r="D916" s="39"/>
      <c r="E916" s="39"/>
      <c r="F916" s="39"/>
      <c r="G916" s="40"/>
      <c r="H916" s="39"/>
      <c r="I916" s="40" t="n">
        <f aca="false">IF(G916="",0,G916*S916)</f>
        <v>0</v>
      </c>
      <c r="J916" s="40"/>
      <c r="K916" s="40" t="n">
        <f aca="false">IF(G916="",0,G916-I916-IF(J916="",0,J916))</f>
        <v>0</v>
      </c>
      <c r="L916" s="40" t="n">
        <f aca="false">IF(O916="",0,IFERROR(INDEX(Purchases!I:I,MATCH(O916*1,Purchases!A:A,0)),0))</f>
        <v>0</v>
      </c>
      <c r="M916" s="40" t="n">
        <f aca="false">IF(G916="",0,K916-L916)</f>
        <v>0</v>
      </c>
      <c r="N916" s="48" t="str">
        <f aca="false">IFERROR(IF(G916="","",M916/G916),"")</f>
        <v/>
      </c>
      <c r="O916" s="39"/>
      <c r="P916" s="39"/>
      <c r="Q916" s="39"/>
      <c r="R916" s="39"/>
      <c r="S916" s="48" t="n">
        <f aca="false">IFERROR(VLOOKUP(H916,Settings!B14:C25,2,FALSE()),0)</f>
        <v>0</v>
      </c>
    </row>
    <row r="917" customFormat="false" ht="15" hidden="false" customHeight="false" outlineLevel="0" collapsed="false">
      <c r="A917" s="41" t="str">
        <f aca="false">IF(B917="","",ROW()-3)</f>
        <v/>
      </c>
      <c r="B917" s="42"/>
      <c r="G917" s="44"/>
      <c r="I917" s="44" t="n">
        <f aca="false">IF(G917="",0,G917*S917)</f>
        <v>0</v>
      </c>
      <c r="J917" s="44"/>
      <c r="K917" s="44" t="n">
        <f aca="false">IF(G917="",0,G917-I917-IF(J917="",0,J917))</f>
        <v>0</v>
      </c>
      <c r="L917" s="44" t="n">
        <f aca="false">IF(O917="",0,IFERROR(INDEX(Purchases!I:I,MATCH(O917*1,Purchases!A:A,0)),0))</f>
        <v>0</v>
      </c>
      <c r="M917" s="44" t="n">
        <f aca="false">IF(G917="",0,K917-L917)</f>
        <v>0</v>
      </c>
      <c r="N917" s="49" t="str">
        <f aca="false">IFERROR(IF(G917="","",M917/G917),"")</f>
        <v/>
      </c>
      <c r="S917" s="49" t="n">
        <f aca="false">IFERROR(VLOOKUP(H917,Settings!B14:C25,2,FALSE()),0)</f>
        <v>0</v>
      </c>
    </row>
    <row r="918" customFormat="false" ht="15" hidden="false" customHeight="false" outlineLevel="0" collapsed="false">
      <c r="A918" s="37" t="str">
        <f aca="false">IF(B918="","",ROW()-3)</f>
        <v/>
      </c>
      <c r="B918" s="38"/>
      <c r="C918" s="39"/>
      <c r="D918" s="39"/>
      <c r="E918" s="39"/>
      <c r="F918" s="39"/>
      <c r="G918" s="40"/>
      <c r="H918" s="39"/>
      <c r="I918" s="40" t="n">
        <f aca="false">IF(G918="",0,G918*S918)</f>
        <v>0</v>
      </c>
      <c r="J918" s="40"/>
      <c r="K918" s="40" t="n">
        <f aca="false">IF(G918="",0,G918-I918-IF(J918="",0,J918))</f>
        <v>0</v>
      </c>
      <c r="L918" s="40" t="n">
        <f aca="false">IF(O918="",0,IFERROR(INDEX(Purchases!I:I,MATCH(O918*1,Purchases!A:A,0)),0))</f>
        <v>0</v>
      </c>
      <c r="M918" s="40" t="n">
        <f aca="false">IF(G918="",0,K918-L918)</f>
        <v>0</v>
      </c>
      <c r="N918" s="48" t="str">
        <f aca="false">IFERROR(IF(G918="","",M918/G918),"")</f>
        <v/>
      </c>
      <c r="O918" s="39"/>
      <c r="P918" s="39"/>
      <c r="Q918" s="39"/>
      <c r="R918" s="39"/>
      <c r="S918" s="48" t="n">
        <f aca="false">IFERROR(VLOOKUP(H918,Settings!B14:C25,2,FALSE()),0)</f>
        <v>0</v>
      </c>
    </row>
    <row r="919" customFormat="false" ht="15" hidden="false" customHeight="false" outlineLevel="0" collapsed="false">
      <c r="A919" s="41" t="str">
        <f aca="false">IF(B919="","",ROW()-3)</f>
        <v/>
      </c>
      <c r="B919" s="42"/>
      <c r="G919" s="44"/>
      <c r="I919" s="44" t="n">
        <f aca="false">IF(G919="",0,G919*S919)</f>
        <v>0</v>
      </c>
      <c r="J919" s="44"/>
      <c r="K919" s="44" t="n">
        <f aca="false">IF(G919="",0,G919-I919-IF(J919="",0,J919))</f>
        <v>0</v>
      </c>
      <c r="L919" s="44" t="n">
        <f aca="false">IF(O919="",0,IFERROR(INDEX(Purchases!I:I,MATCH(O919*1,Purchases!A:A,0)),0))</f>
        <v>0</v>
      </c>
      <c r="M919" s="44" t="n">
        <f aca="false">IF(G919="",0,K919-L919)</f>
        <v>0</v>
      </c>
      <c r="N919" s="49" t="str">
        <f aca="false">IFERROR(IF(G919="","",M919/G919),"")</f>
        <v/>
      </c>
      <c r="S919" s="49" t="n">
        <f aca="false">IFERROR(VLOOKUP(H919,Settings!B14:C25,2,FALSE()),0)</f>
        <v>0</v>
      </c>
    </row>
    <row r="920" customFormat="false" ht="15" hidden="false" customHeight="false" outlineLevel="0" collapsed="false">
      <c r="A920" s="37" t="str">
        <f aca="false">IF(B920="","",ROW()-3)</f>
        <v/>
      </c>
      <c r="B920" s="38"/>
      <c r="C920" s="39"/>
      <c r="D920" s="39"/>
      <c r="E920" s="39"/>
      <c r="F920" s="39"/>
      <c r="G920" s="40"/>
      <c r="H920" s="39"/>
      <c r="I920" s="40" t="n">
        <f aca="false">IF(G920="",0,G920*S920)</f>
        <v>0</v>
      </c>
      <c r="J920" s="40"/>
      <c r="K920" s="40" t="n">
        <f aca="false">IF(G920="",0,G920-I920-IF(J920="",0,J920))</f>
        <v>0</v>
      </c>
      <c r="L920" s="40" t="n">
        <f aca="false">IF(O920="",0,IFERROR(INDEX(Purchases!I:I,MATCH(O920*1,Purchases!A:A,0)),0))</f>
        <v>0</v>
      </c>
      <c r="M920" s="40" t="n">
        <f aca="false">IF(G920="",0,K920-L920)</f>
        <v>0</v>
      </c>
      <c r="N920" s="48" t="str">
        <f aca="false">IFERROR(IF(G920="","",M920/G920),"")</f>
        <v/>
      </c>
      <c r="O920" s="39"/>
      <c r="P920" s="39"/>
      <c r="Q920" s="39"/>
      <c r="R920" s="39"/>
      <c r="S920" s="48" t="n">
        <f aca="false">IFERROR(VLOOKUP(H920,Settings!B14:C25,2,FALSE()),0)</f>
        <v>0</v>
      </c>
    </row>
    <row r="921" customFormat="false" ht="15" hidden="false" customHeight="false" outlineLevel="0" collapsed="false">
      <c r="A921" s="41" t="str">
        <f aca="false">IF(B921="","",ROW()-3)</f>
        <v/>
      </c>
      <c r="B921" s="42"/>
      <c r="G921" s="44"/>
      <c r="I921" s="44" t="n">
        <f aca="false">IF(G921="",0,G921*S921)</f>
        <v>0</v>
      </c>
      <c r="J921" s="44"/>
      <c r="K921" s="44" t="n">
        <f aca="false">IF(G921="",0,G921-I921-IF(J921="",0,J921))</f>
        <v>0</v>
      </c>
      <c r="L921" s="44" t="n">
        <f aca="false">IF(O921="",0,IFERROR(INDEX(Purchases!I:I,MATCH(O921*1,Purchases!A:A,0)),0))</f>
        <v>0</v>
      </c>
      <c r="M921" s="44" t="n">
        <f aca="false">IF(G921="",0,K921-L921)</f>
        <v>0</v>
      </c>
      <c r="N921" s="49" t="str">
        <f aca="false">IFERROR(IF(G921="","",M921/G921),"")</f>
        <v/>
      </c>
      <c r="S921" s="49" t="n">
        <f aca="false">IFERROR(VLOOKUP(H921,Settings!B14:C25,2,FALSE()),0)</f>
        <v>0</v>
      </c>
    </row>
    <row r="922" customFormat="false" ht="15" hidden="false" customHeight="false" outlineLevel="0" collapsed="false">
      <c r="A922" s="37" t="str">
        <f aca="false">IF(B922="","",ROW()-3)</f>
        <v/>
      </c>
      <c r="B922" s="38"/>
      <c r="C922" s="39"/>
      <c r="D922" s="39"/>
      <c r="E922" s="39"/>
      <c r="F922" s="39"/>
      <c r="G922" s="40"/>
      <c r="H922" s="39"/>
      <c r="I922" s="40" t="n">
        <f aca="false">IF(G922="",0,G922*S922)</f>
        <v>0</v>
      </c>
      <c r="J922" s="40"/>
      <c r="K922" s="40" t="n">
        <f aca="false">IF(G922="",0,G922-I922-IF(J922="",0,J922))</f>
        <v>0</v>
      </c>
      <c r="L922" s="40" t="n">
        <f aca="false">IF(O922="",0,IFERROR(INDEX(Purchases!I:I,MATCH(O922*1,Purchases!A:A,0)),0))</f>
        <v>0</v>
      </c>
      <c r="M922" s="40" t="n">
        <f aca="false">IF(G922="",0,K922-L922)</f>
        <v>0</v>
      </c>
      <c r="N922" s="48" t="str">
        <f aca="false">IFERROR(IF(G922="","",M922/G922),"")</f>
        <v/>
      </c>
      <c r="O922" s="39"/>
      <c r="P922" s="39"/>
      <c r="Q922" s="39"/>
      <c r="R922" s="39"/>
      <c r="S922" s="48" t="n">
        <f aca="false">IFERROR(VLOOKUP(H922,Settings!B14:C25,2,FALSE()),0)</f>
        <v>0</v>
      </c>
    </row>
    <row r="923" customFormat="false" ht="15" hidden="false" customHeight="false" outlineLevel="0" collapsed="false">
      <c r="A923" s="41" t="str">
        <f aca="false">IF(B923="","",ROW()-3)</f>
        <v/>
      </c>
      <c r="B923" s="42"/>
      <c r="G923" s="44"/>
      <c r="I923" s="44" t="n">
        <f aca="false">IF(G923="",0,G923*S923)</f>
        <v>0</v>
      </c>
      <c r="J923" s="44"/>
      <c r="K923" s="44" t="n">
        <f aca="false">IF(G923="",0,G923-I923-IF(J923="",0,J923))</f>
        <v>0</v>
      </c>
      <c r="L923" s="44" t="n">
        <f aca="false">IF(O923="",0,IFERROR(INDEX(Purchases!I:I,MATCH(O923*1,Purchases!A:A,0)),0))</f>
        <v>0</v>
      </c>
      <c r="M923" s="44" t="n">
        <f aca="false">IF(G923="",0,K923-L923)</f>
        <v>0</v>
      </c>
      <c r="N923" s="49" t="str">
        <f aca="false">IFERROR(IF(G923="","",M923/G923),"")</f>
        <v/>
      </c>
      <c r="S923" s="49" t="n">
        <f aca="false">IFERROR(VLOOKUP(H923,Settings!B14:C25,2,FALSE()),0)</f>
        <v>0</v>
      </c>
    </row>
    <row r="924" customFormat="false" ht="15" hidden="false" customHeight="false" outlineLevel="0" collapsed="false">
      <c r="A924" s="37" t="str">
        <f aca="false">IF(B924="","",ROW()-3)</f>
        <v/>
      </c>
      <c r="B924" s="38"/>
      <c r="C924" s="39"/>
      <c r="D924" s="39"/>
      <c r="E924" s="39"/>
      <c r="F924" s="39"/>
      <c r="G924" s="40"/>
      <c r="H924" s="39"/>
      <c r="I924" s="40" t="n">
        <f aca="false">IF(G924="",0,G924*S924)</f>
        <v>0</v>
      </c>
      <c r="J924" s="40"/>
      <c r="K924" s="40" t="n">
        <f aca="false">IF(G924="",0,G924-I924-IF(J924="",0,J924))</f>
        <v>0</v>
      </c>
      <c r="L924" s="40" t="n">
        <f aca="false">IF(O924="",0,IFERROR(INDEX(Purchases!I:I,MATCH(O924*1,Purchases!A:A,0)),0))</f>
        <v>0</v>
      </c>
      <c r="M924" s="40" t="n">
        <f aca="false">IF(G924="",0,K924-L924)</f>
        <v>0</v>
      </c>
      <c r="N924" s="48" t="str">
        <f aca="false">IFERROR(IF(G924="","",M924/G924),"")</f>
        <v/>
      </c>
      <c r="O924" s="39"/>
      <c r="P924" s="39"/>
      <c r="Q924" s="39"/>
      <c r="R924" s="39"/>
      <c r="S924" s="48" t="n">
        <f aca="false">IFERROR(VLOOKUP(H924,Settings!B14:C25,2,FALSE()),0)</f>
        <v>0</v>
      </c>
    </row>
    <row r="925" customFormat="false" ht="15" hidden="false" customHeight="false" outlineLevel="0" collapsed="false">
      <c r="A925" s="41" t="str">
        <f aca="false">IF(B925="","",ROW()-3)</f>
        <v/>
      </c>
      <c r="B925" s="42"/>
      <c r="G925" s="44"/>
      <c r="I925" s="44" t="n">
        <f aca="false">IF(G925="",0,G925*S925)</f>
        <v>0</v>
      </c>
      <c r="J925" s="44"/>
      <c r="K925" s="44" t="n">
        <f aca="false">IF(G925="",0,G925-I925-IF(J925="",0,J925))</f>
        <v>0</v>
      </c>
      <c r="L925" s="44" t="n">
        <f aca="false">IF(O925="",0,IFERROR(INDEX(Purchases!I:I,MATCH(O925*1,Purchases!A:A,0)),0))</f>
        <v>0</v>
      </c>
      <c r="M925" s="44" t="n">
        <f aca="false">IF(G925="",0,K925-L925)</f>
        <v>0</v>
      </c>
      <c r="N925" s="49" t="str">
        <f aca="false">IFERROR(IF(G925="","",M925/G925),"")</f>
        <v/>
      </c>
      <c r="S925" s="49" t="n">
        <f aca="false">IFERROR(VLOOKUP(H925,Settings!B14:C25,2,FALSE()),0)</f>
        <v>0</v>
      </c>
    </row>
    <row r="926" customFormat="false" ht="15" hidden="false" customHeight="false" outlineLevel="0" collapsed="false">
      <c r="A926" s="37" t="str">
        <f aca="false">IF(B926="","",ROW()-3)</f>
        <v/>
      </c>
      <c r="B926" s="38"/>
      <c r="C926" s="39"/>
      <c r="D926" s="39"/>
      <c r="E926" s="39"/>
      <c r="F926" s="39"/>
      <c r="G926" s="40"/>
      <c r="H926" s="39"/>
      <c r="I926" s="40" t="n">
        <f aca="false">IF(G926="",0,G926*S926)</f>
        <v>0</v>
      </c>
      <c r="J926" s="40"/>
      <c r="K926" s="40" t="n">
        <f aca="false">IF(G926="",0,G926-I926-IF(J926="",0,J926))</f>
        <v>0</v>
      </c>
      <c r="L926" s="40" t="n">
        <f aca="false">IF(O926="",0,IFERROR(INDEX(Purchases!I:I,MATCH(O926*1,Purchases!A:A,0)),0))</f>
        <v>0</v>
      </c>
      <c r="M926" s="40" t="n">
        <f aca="false">IF(G926="",0,K926-L926)</f>
        <v>0</v>
      </c>
      <c r="N926" s="48" t="str">
        <f aca="false">IFERROR(IF(G926="","",M926/G926),"")</f>
        <v/>
      </c>
      <c r="O926" s="39"/>
      <c r="P926" s="39"/>
      <c r="Q926" s="39"/>
      <c r="R926" s="39"/>
      <c r="S926" s="48" t="n">
        <f aca="false">IFERROR(VLOOKUP(H926,Settings!B14:C25,2,FALSE()),0)</f>
        <v>0</v>
      </c>
    </row>
    <row r="927" customFormat="false" ht="15" hidden="false" customHeight="false" outlineLevel="0" collapsed="false">
      <c r="A927" s="41" t="str">
        <f aca="false">IF(B927="","",ROW()-3)</f>
        <v/>
      </c>
      <c r="B927" s="42"/>
      <c r="G927" s="44"/>
      <c r="I927" s="44" t="n">
        <f aca="false">IF(G927="",0,G927*S927)</f>
        <v>0</v>
      </c>
      <c r="J927" s="44"/>
      <c r="K927" s="44" t="n">
        <f aca="false">IF(G927="",0,G927-I927-IF(J927="",0,J927))</f>
        <v>0</v>
      </c>
      <c r="L927" s="44" t="n">
        <f aca="false">IF(O927="",0,IFERROR(INDEX(Purchases!I:I,MATCH(O927*1,Purchases!A:A,0)),0))</f>
        <v>0</v>
      </c>
      <c r="M927" s="44" t="n">
        <f aca="false">IF(G927="",0,K927-L927)</f>
        <v>0</v>
      </c>
      <c r="N927" s="49" t="str">
        <f aca="false">IFERROR(IF(G927="","",M927/G927),"")</f>
        <v/>
      </c>
      <c r="S927" s="49" t="n">
        <f aca="false">IFERROR(VLOOKUP(H927,Settings!B14:C25,2,FALSE()),0)</f>
        <v>0</v>
      </c>
    </row>
    <row r="928" customFormat="false" ht="15" hidden="false" customHeight="false" outlineLevel="0" collapsed="false">
      <c r="A928" s="37" t="str">
        <f aca="false">IF(B928="","",ROW()-3)</f>
        <v/>
      </c>
      <c r="B928" s="38"/>
      <c r="C928" s="39"/>
      <c r="D928" s="39"/>
      <c r="E928" s="39"/>
      <c r="F928" s="39"/>
      <c r="G928" s="40"/>
      <c r="H928" s="39"/>
      <c r="I928" s="40" t="n">
        <f aca="false">IF(G928="",0,G928*S928)</f>
        <v>0</v>
      </c>
      <c r="J928" s="40"/>
      <c r="K928" s="40" t="n">
        <f aca="false">IF(G928="",0,G928-I928-IF(J928="",0,J928))</f>
        <v>0</v>
      </c>
      <c r="L928" s="40" t="n">
        <f aca="false">IF(O928="",0,IFERROR(INDEX(Purchases!I:I,MATCH(O928*1,Purchases!A:A,0)),0))</f>
        <v>0</v>
      </c>
      <c r="M928" s="40" t="n">
        <f aca="false">IF(G928="",0,K928-L928)</f>
        <v>0</v>
      </c>
      <c r="N928" s="48" t="str">
        <f aca="false">IFERROR(IF(G928="","",M928/G928),"")</f>
        <v/>
      </c>
      <c r="O928" s="39"/>
      <c r="P928" s="39"/>
      <c r="Q928" s="39"/>
      <c r="R928" s="39"/>
      <c r="S928" s="48" t="n">
        <f aca="false">IFERROR(VLOOKUP(H928,Settings!B14:C25,2,FALSE()),0)</f>
        <v>0</v>
      </c>
    </row>
    <row r="929" customFormat="false" ht="15" hidden="false" customHeight="false" outlineLevel="0" collapsed="false">
      <c r="A929" s="41" t="str">
        <f aca="false">IF(B929="","",ROW()-3)</f>
        <v/>
      </c>
      <c r="B929" s="42"/>
      <c r="G929" s="44"/>
      <c r="I929" s="44" t="n">
        <f aca="false">IF(G929="",0,G929*S929)</f>
        <v>0</v>
      </c>
      <c r="J929" s="44"/>
      <c r="K929" s="44" t="n">
        <f aca="false">IF(G929="",0,G929-I929-IF(J929="",0,J929))</f>
        <v>0</v>
      </c>
      <c r="L929" s="44" t="n">
        <f aca="false">IF(O929="",0,IFERROR(INDEX(Purchases!I:I,MATCH(O929*1,Purchases!A:A,0)),0))</f>
        <v>0</v>
      </c>
      <c r="M929" s="44" t="n">
        <f aca="false">IF(G929="",0,K929-L929)</f>
        <v>0</v>
      </c>
      <c r="N929" s="49" t="str">
        <f aca="false">IFERROR(IF(G929="","",M929/G929),"")</f>
        <v/>
      </c>
      <c r="S929" s="49" t="n">
        <f aca="false">IFERROR(VLOOKUP(H929,Settings!B14:C25,2,FALSE()),0)</f>
        <v>0</v>
      </c>
    </row>
    <row r="930" customFormat="false" ht="15" hidden="false" customHeight="false" outlineLevel="0" collapsed="false">
      <c r="A930" s="37" t="str">
        <f aca="false">IF(B930="","",ROW()-3)</f>
        <v/>
      </c>
      <c r="B930" s="38"/>
      <c r="C930" s="39"/>
      <c r="D930" s="39"/>
      <c r="E930" s="39"/>
      <c r="F930" s="39"/>
      <c r="G930" s="40"/>
      <c r="H930" s="39"/>
      <c r="I930" s="40" t="n">
        <f aca="false">IF(G930="",0,G930*S930)</f>
        <v>0</v>
      </c>
      <c r="J930" s="40"/>
      <c r="K930" s="40" t="n">
        <f aca="false">IF(G930="",0,G930-I930-IF(J930="",0,J930))</f>
        <v>0</v>
      </c>
      <c r="L930" s="40" t="n">
        <f aca="false">IF(O930="",0,IFERROR(INDEX(Purchases!I:I,MATCH(O930*1,Purchases!A:A,0)),0))</f>
        <v>0</v>
      </c>
      <c r="M930" s="40" t="n">
        <f aca="false">IF(G930="",0,K930-L930)</f>
        <v>0</v>
      </c>
      <c r="N930" s="48" t="str">
        <f aca="false">IFERROR(IF(G930="","",M930/G930),"")</f>
        <v/>
      </c>
      <c r="O930" s="39"/>
      <c r="P930" s="39"/>
      <c r="Q930" s="39"/>
      <c r="R930" s="39"/>
      <c r="S930" s="48" t="n">
        <f aca="false">IFERROR(VLOOKUP(H930,Settings!B14:C25,2,FALSE()),0)</f>
        <v>0</v>
      </c>
    </row>
    <row r="931" customFormat="false" ht="15" hidden="false" customHeight="false" outlineLevel="0" collapsed="false">
      <c r="A931" s="41" t="str">
        <f aca="false">IF(B931="","",ROW()-3)</f>
        <v/>
      </c>
      <c r="B931" s="42"/>
      <c r="G931" s="44"/>
      <c r="I931" s="44" t="n">
        <f aca="false">IF(G931="",0,G931*S931)</f>
        <v>0</v>
      </c>
      <c r="J931" s="44"/>
      <c r="K931" s="44" t="n">
        <f aca="false">IF(G931="",0,G931-I931-IF(J931="",0,J931))</f>
        <v>0</v>
      </c>
      <c r="L931" s="44" t="n">
        <f aca="false">IF(O931="",0,IFERROR(INDEX(Purchases!I:I,MATCH(O931*1,Purchases!A:A,0)),0))</f>
        <v>0</v>
      </c>
      <c r="M931" s="44" t="n">
        <f aca="false">IF(G931="",0,K931-L931)</f>
        <v>0</v>
      </c>
      <c r="N931" s="49" t="str">
        <f aca="false">IFERROR(IF(G931="","",M931/G931),"")</f>
        <v/>
      </c>
      <c r="S931" s="49" t="n">
        <f aca="false">IFERROR(VLOOKUP(H931,Settings!B14:C25,2,FALSE()),0)</f>
        <v>0</v>
      </c>
    </row>
    <row r="932" customFormat="false" ht="15" hidden="false" customHeight="false" outlineLevel="0" collapsed="false">
      <c r="A932" s="37" t="str">
        <f aca="false">IF(B932="","",ROW()-3)</f>
        <v/>
      </c>
      <c r="B932" s="38"/>
      <c r="C932" s="39"/>
      <c r="D932" s="39"/>
      <c r="E932" s="39"/>
      <c r="F932" s="39"/>
      <c r="G932" s="40"/>
      <c r="H932" s="39"/>
      <c r="I932" s="40" t="n">
        <f aca="false">IF(G932="",0,G932*S932)</f>
        <v>0</v>
      </c>
      <c r="J932" s="40"/>
      <c r="K932" s="40" t="n">
        <f aca="false">IF(G932="",0,G932-I932-IF(J932="",0,J932))</f>
        <v>0</v>
      </c>
      <c r="L932" s="40" t="n">
        <f aca="false">IF(O932="",0,IFERROR(INDEX(Purchases!I:I,MATCH(O932*1,Purchases!A:A,0)),0))</f>
        <v>0</v>
      </c>
      <c r="M932" s="40" t="n">
        <f aca="false">IF(G932="",0,K932-L932)</f>
        <v>0</v>
      </c>
      <c r="N932" s="48" t="str">
        <f aca="false">IFERROR(IF(G932="","",M932/G932),"")</f>
        <v/>
      </c>
      <c r="O932" s="39"/>
      <c r="P932" s="39"/>
      <c r="Q932" s="39"/>
      <c r="R932" s="39"/>
      <c r="S932" s="48" t="n">
        <f aca="false">IFERROR(VLOOKUP(H932,Settings!B14:C25,2,FALSE()),0)</f>
        <v>0</v>
      </c>
    </row>
    <row r="933" customFormat="false" ht="15" hidden="false" customHeight="false" outlineLevel="0" collapsed="false">
      <c r="A933" s="41" t="str">
        <f aca="false">IF(B933="","",ROW()-3)</f>
        <v/>
      </c>
      <c r="B933" s="42"/>
      <c r="G933" s="44"/>
      <c r="I933" s="44" t="n">
        <f aca="false">IF(G933="",0,G933*S933)</f>
        <v>0</v>
      </c>
      <c r="J933" s="44"/>
      <c r="K933" s="44" t="n">
        <f aca="false">IF(G933="",0,G933-I933-IF(J933="",0,J933))</f>
        <v>0</v>
      </c>
      <c r="L933" s="44" t="n">
        <f aca="false">IF(O933="",0,IFERROR(INDEX(Purchases!I:I,MATCH(O933*1,Purchases!A:A,0)),0))</f>
        <v>0</v>
      </c>
      <c r="M933" s="44" t="n">
        <f aca="false">IF(G933="",0,K933-L933)</f>
        <v>0</v>
      </c>
      <c r="N933" s="49" t="str">
        <f aca="false">IFERROR(IF(G933="","",M933/G933),"")</f>
        <v/>
      </c>
      <c r="S933" s="49" t="n">
        <f aca="false">IFERROR(VLOOKUP(H933,Settings!B14:C25,2,FALSE()),0)</f>
        <v>0</v>
      </c>
    </row>
    <row r="934" customFormat="false" ht="15" hidden="false" customHeight="false" outlineLevel="0" collapsed="false">
      <c r="A934" s="37" t="str">
        <f aca="false">IF(B934="","",ROW()-3)</f>
        <v/>
      </c>
      <c r="B934" s="38"/>
      <c r="C934" s="39"/>
      <c r="D934" s="39"/>
      <c r="E934" s="39"/>
      <c r="F934" s="39"/>
      <c r="G934" s="40"/>
      <c r="H934" s="39"/>
      <c r="I934" s="40" t="n">
        <f aca="false">IF(G934="",0,G934*S934)</f>
        <v>0</v>
      </c>
      <c r="J934" s="40"/>
      <c r="K934" s="40" t="n">
        <f aca="false">IF(G934="",0,G934-I934-IF(J934="",0,J934))</f>
        <v>0</v>
      </c>
      <c r="L934" s="40" t="n">
        <f aca="false">IF(O934="",0,IFERROR(INDEX(Purchases!I:I,MATCH(O934*1,Purchases!A:A,0)),0))</f>
        <v>0</v>
      </c>
      <c r="M934" s="40" t="n">
        <f aca="false">IF(G934="",0,K934-L934)</f>
        <v>0</v>
      </c>
      <c r="N934" s="48" t="str">
        <f aca="false">IFERROR(IF(G934="","",M934/G934),"")</f>
        <v/>
      </c>
      <c r="O934" s="39"/>
      <c r="P934" s="39"/>
      <c r="Q934" s="39"/>
      <c r="R934" s="39"/>
      <c r="S934" s="48" t="n">
        <f aca="false">IFERROR(VLOOKUP(H934,Settings!B14:C25,2,FALSE()),0)</f>
        <v>0</v>
      </c>
    </row>
    <row r="935" customFormat="false" ht="15" hidden="false" customHeight="false" outlineLevel="0" collapsed="false">
      <c r="A935" s="41" t="str">
        <f aca="false">IF(B935="","",ROW()-3)</f>
        <v/>
      </c>
      <c r="B935" s="42"/>
      <c r="G935" s="44"/>
      <c r="I935" s="44" t="n">
        <f aca="false">IF(G935="",0,G935*S935)</f>
        <v>0</v>
      </c>
      <c r="J935" s="44"/>
      <c r="K935" s="44" t="n">
        <f aca="false">IF(G935="",0,G935-I935-IF(J935="",0,J935))</f>
        <v>0</v>
      </c>
      <c r="L935" s="44" t="n">
        <f aca="false">IF(O935="",0,IFERROR(INDEX(Purchases!I:I,MATCH(O935*1,Purchases!A:A,0)),0))</f>
        <v>0</v>
      </c>
      <c r="M935" s="44" t="n">
        <f aca="false">IF(G935="",0,K935-L935)</f>
        <v>0</v>
      </c>
      <c r="N935" s="49" t="str">
        <f aca="false">IFERROR(IF(G935="","",M935/G935),"")</f>
        <v/>
      </c>
      <c r="S935" s="49" t="n">
        <f aca="false">IFERROR(VLOOKUP(H935,Settings!B14:C25,2,FALSE()),0)</f>
        <v>0</v>
      </c>
    </row>
    <row r="936" customFormat="false" ht="15" hidden="false" customHeight="false" outlineLevel="0" collapsed="false">
      <c r="A936" s="37" t="str">
        <f aca="false">IF(B936="","",ROW()-3)</f>
        <v/>
      </c>
      <c r="B936" s="38"/>
      <c r="C936" s="39"/>
      <c r="D936" s="39"/>
      <c r="E936" s="39"/>
      <c r="F936" s="39"/>
      <c r="G936" s="40"/>
      <c r="H936" s="39"/>
      <c r="I936" s="40" t="n">
        <f aca="false">IF(G936="",0,G936*S936)</f>
        <v>0</v>
      </c>
      <c r="J936" s="40"/>
      <c r="K936" s="40" t="n">
        <f aca="false">IF(G936="",0,G936-I936-IF(J936="",0,J936))</f>
        <v>0</v>
      </c>
      <c r="L936" s="40" t="n">
        <f aca="false">IF(O936="",0,IFERROR(INDEX(Purchases!I:I,MATCH(O936*1,Purchases!A:A,0)),0))</f>
        <v>0</v>
      </c>
      <c r="M936" s="40" t="n">
        <f aca="false">IF(G936="",0,K936-L936)</f>
        <v>0</v>
      </c>
      <c r="N936" s="48" t="str">
        <f aca="false">IFERROR(IF(G936="","",M936/G936),"")</f>
        <v/>
      </c>
      <c r="O936" s="39"/>
      <c r="P936" s="39"/>
      <c r="Q936" s="39"/>
      <c r="R936" s="39"/>
      <c r="S936" s="48" t="n">
        <f aca="false">IFERROR(VLOOKUP(H936,Settings!B14:C25,2,FALSE()),0)</f>
        <v>0</v>
      </c>
    </row>
    <row r="937" customFormat="false" ht="15" hidden="false" customHeight="false" outlineLevel="0" collapsed="false">
      <c r="A937" s="41" t="str">
        <f aca="false">IF(B937="","",ROW()-3)</f>
        <v/>
      </c>
      <c r="B937" s="42"/>
      <c r="G937" s="44"/>
      <c r="I937" s="44" t="n">
        <f aca="false">IF(G937="",0,G937*S937)</f>
        <v>0</v>
      </c>
      <c r="J937" s="44"/>
      <c r="K937" s="44" t="n">
        <f aca="false">IF(G937="",0,G937-I937-IF(J937="",0,J937))</f>
        <v>0</v>
      </c>
      <c r="L937" s="44" t="n">
        <f aca="false">IF(O937="",0,IFERROR(INDEX(Purchases!I:I,MATCH(O937*1,Purchases!A:A,0)),0))</f>
        <v>0</v>
      </c>
      <c r="M937" s="44" t="n">
        <f aca="false">IF(G937="",0,K937-L937)</f>
        <v>0</v>
      </c>
      <c r="N937" s="49" t="str">
        <f aca="false">IFERROR(IF(G937="","",M937/G937),"")</f>
        <v/>
      </c>
      <c r="S937" s="49" t="n">
        <f aca="false">IFERROR(VLOOKUP(H937,Settings!B14:C25,2,FALSE()),0)</f>
        <v>0</v>
      </c>
    </row>
    <row r="938" customFormat="false" ht="15" hidden="false" customHeight="false" outlineLevel="0" collapsed="false">
      <c r="A938" s="37" t="str">
        <f aca="false">IF(B938="","",ROW()-3)</f>
        <v/>
      </c>
      <c r="B938" s="38"/>
      <c r="C938" s="39"/>
      <c r="D938" s="39"/>
      <c r="E938" s="39"/>
      <c r="F938" s="39"/>
      <c r="G938" s="40"/>
      <c r="H938" s="39"/>
      <c r="I938" s="40" t="n">
        <f aca="false">IF(G938="",0,G938*S938)</f>
        <v>0</v>
      </c>
      <c r="J938" s="40"/>
      <c r="K938" s="40" t="n">
        <f aca="false">IF(G938="",0,G938-I938-IF(J938="",0,J938))</f>
        <v>0</v>
      </c>
      <c r="L938" s="40" t="n">
        <f aca="false">IF(O938="",0,IFERROR(INDEX(Purchases!I:I,MATCH(O938*1,Purchases!A:A,0)),0))</f>
        <v>0</v>
      </c>
      <c r="M938" s="40" t="n">
        <f aca="false">IF(G938="",0,K938-L938)</f>
        <v>0</v>
      </c>
      <c r="N938" s="48" t="str">
        <f aca="false">IFERROR(IF(G938="","",M938/G938),"")</f>
        <v/>
      </c>
      <c r="O938" s="39"/>
      <c r="P938" s="39"/>
      <c r="Q938" s="39"/>
      <c r="R938" s="39"/>
      <c r="S938" s="48" t="n">
        <f aca="false">IFERROR(VLOOKUP(H938,Settings!B14:C25,2,FALSE()),0)</f>
        <v>0</v>
      </c>
    </row>
    <row r="939" customFormat="false" ht="15" hidden="false" customHeight="false" outlineLevel="0" collapsed="false">
      <c r="A939" s="41" t="str">
        <f aca="false">IF(B939="","",ROW()-3)</f>
        <v/>
      </c>
      <c r="B939" s="42"/>
      <c r="G939" s="44"/>
      <c r="I939" s="44" t="n">
        <f aca="false">IF(G939="",0,G939*S939)</f>
        <v>0</v>
      </c>
      <c r="J939" s="44"/>
      <c r="K939" s="44" t="n">
        <f aca="false">IF(G939="",0,G939-I939-IF(J939="",0,J939))</f>
        <v>0</v>
      </c>
      <c r="L939" s="44" t="n">
        <f aca="false">IF(O939="",0,IFERROR(INDEX(Purchases!I:I,MATCH(O939*1,Purchases!A:A,0)),0))</f>
        <v>0</v>
      </c>
      <c r="M939" s="44" t="n">
        <f aca="false">IF(G939="",0,K939-L939)</f>
        <v>0</v>
      </c>
      <c r="N939" s="49" t="str">
        <f aca="false">IFERROR(IF(G939="","",M939/G939),"")</f>
        <v/>
      </c>
      <c r="S939" s="49" t="n">
        <f aca="false">IFERROR(VLOOKUP(H939,Settings!B14:C25,2,FALSE()),0)</f>
        <v>0</v>
      </c>
    </row>
    <row r="940" customFormat="false" ht="15" hidden="false" customHeight="false" outlineLevel="0" collapsed="false">
      <c r="A940" s="37" t="str">
        <f aca="false">IF(B940="","",ROW()-3)</f>
        <v/>
      </c>
      <c r="B940" s="38"/>
      <c r="C940" s="39"/>
      <c r="D940" s="39"/>
      <c r="E940" s="39"/>
      <c r="F940" s="39"/>
      <c r="G940" s="40"/>
      <c r="H940" s="39"/>
      <c r="I940" s="40" t="n">
        <f aca="false">IF(G940="",0,G940*S940)</f>
        <v>0</v>
      </c>
      <c r="J940" s="40"/>
      <c r="K940" s="40" t="n">
        <f aca="false">IF(G940="",0,G940-I940-IF(J940="",0,J940))</f>
        <v>0</v>
      </c>
      <c r="L940" s="40" t="n">
        <f aca="false">IF(O940="",0,IFERROR(INDEX(Purchases!I:I,MATCH(O940*1,Purchases!A:A,0)),0))</f>
        <v>0</v>
      </c>
      <c r="M940" s="40" t="n">
        <f aca="false">IF(G940="",0,K940-L940)</f>
        <v>0</v>
      </c>
      <c r="N940" s="48" t="str">
        <f aca="false">IFERROR(IF(G940="","",M940/G940),"")</f>
        <v/>
      </c>
      <c r="O940" s="39"/>
      <c r="P940" s="39"/>
      <c r="Q940" s="39"/>
      <c r="R940" s="39"/>
      <c r="S940" s="48" t="n">
        <f aca="false">IFERROR(VLOOKUP(H940,Settings!B14:C25,2,FALSE()),0)</f>
        <v>0</v>
      </c>
    </row>
    <row r="941" customFormat="false" ht="15" hidden="false" customHeight="false" outlineLevel="0" collapsed="false">
      <c r="A941" s="41" t="str">
        <f aca="false">IF(B941="","",ROW()-3)</f>
        <v/>
      </c>
      <c r="B941" s="42"/>
      <c r="G941" s="44"/>
      <c r="I941" s="44" t="n">
        <f aca="false">IF(G941="",0,G941*S941)</f>
        <v>0</v>
      </c>
      <c r="J941" s="44"/>
      <c r="K941" s="44" t="n">
        <f aca="false">IF(G941="",0,G941-I941-IF(J941="",0,J941))</f>
        <v>0</v>
      </c>
      <c r="L941" s="44" t="n">
        <f aca="false">IF(O941="",0,IFERROR(INDEX(Purchases!I:I,MATCH(O941*1,Purchases!A:A,0)),0))</f>
        <v>0</v>
      </c>
      <c r="M941" s="44" t="n">
        <f aca="false">IF(G941="",0,K941-L941)</f>
        <v>0</v>
      </c>
      <c r="N941" s="49" t="str">
        <f aca="false">IFERROR(IF(G941="","",M941/G941),"")</f>
        <v/>
      </c>
      <c r="S941" s="49" t="n">
        <f aca="false">IFERROR(VLOOKUP(H941,Settings!B14:C25,2,FALSE()),0)</f>
        <v>0</v>
      </c>
    </row>
    <row r="942" customFormat="false" ht="15" hidden="false" customHeight="false" outlineLevel="0" collapsed="false">
      <c r="A942" s="37" t="str">
        <f aca="false">IF(B942="","",ROW()-3)</f>
        <v/>
      </c>
      <c r="B942" s="38"/>
      <c r="C942" s="39"/>
      <c r="D942" s="39"/>
      <c r="E942" s="39"/>
      <c r="F942" s="39"/>
      <c r="G942" s="40"/>
      <c r="H942" s="39"/>
      <c r="I942" s="40" t="n">
        <f aca="false">IF(G942="",0,G942*S942)</f>
        <v>0</v>
      </c>
      <c r="J942" s="40"/>
      <c r="K942" s="40" t="n">
        <f aca="false">IF(G942="",0,G942-I942-IF(J942="",0,J942))</f>
        <v>0</v>
      </c>
      <c r="L942" s="40" t="n">
        <f aca="false">IF(O942="",0,IFERROR(INDEX(Purchases!I:I,MATCH(O942*1,Purchases!A:A,0)),0))</f>
        <v>0</v>
      </c>
      <c r="M942" s="40" t="n">
        <f aca="false">IF(G942="",0,K942-L942)</f>
        <v>0</v>
      </c>
      <c r="N942" s="48" t="str">
        <f aca="false">IFERROR(IF(G942="","",M942/G942),"")</f>
        <v/>
      </c>
      <c r="O942" s="39"/>
      <c r="P942" s="39"/>
      <c r="Q942" s="39"/>
      <c r="R942" s="39"/>
      <c r="S942" s="48" t="n">
        <f aca="false">IFERROR(VLOOKUP(H942,Settings!B14:C25,2,FALSE()),0)</f>
        <v>0</v>
      </c>
    </row>
    <row r="943" customFormat="false" ht="15" hidden="false" customHeight="false" outlineLevel="0" collapsed="false">
      <c r="A943" s="41" t="str">
        <f aca="false">IF(B943="","",ROW()-3)</f>
        <v/>
      </c>
      <c r="B943" s="42"/>
      <c r="G943" s="44"/>
      <c r="I943" s="44" t="n">
        <f aca="false">IF(G943="",0,G943*S943)</f>
        <v>0</v>
      </c>
      <c r="J943" s="44"/>
      <c r="K943" s="44" t="n">
        <f aca="false">IF(G943="",0,G943-I943-IF(J943="",0,J943))</f>
        <v>0</v>
      </c>
      <c r="L943" s="44" t="n">
        <f aca="false">IF(O943="",0,IFERROR(INDEX(Purchases!I:I,MATCH(O943*1,Purchases!A:A,0)),0))</f>
        <v>0</v>
      </c>
      <c r="M943" s="44" t="n">
        <f aca="false">IF(G943="",0,K943-L943)</f>
        <v>0</v>
      </c>
      <c r="N943" s="49" t="str">
        <f aca="false">IFERROR(IF(G943="","",M943/G943),"")</f>
        <v/>
      </c>
      <c r="S943" s="49" t="n">
        <f aca="false">IFERROR(VLOOKUP(H943,Settings!B14:C25,2,FALSE()),0)</f>
        <v>0</v>
      </c>
    </row>
    <row r="944" customFormat="false" ht="15" hidden="false" customHeight="false" outlineLevel="0" collapsed="false">
      <c r="A944" s="37" t="str">
        <f aca="false">IF(B944="","",ROW()-3)</f>
        <v/>
      </c>
      <c r="B944" s="38"/>
      <c r="C944" s="39"/>
      <c r="D944" s="39"/>
      <c r="E944" s="39"/>
      <c r="F944" s="39"/>
      <c r="G944" s="40"/>
      <c r="H944" s="39"/>
      <c r="I944" s="40" t="n">
        <f aca="false">IF(G944="",0,G944*S944)</f>
        <v>0</v>
      </c>
      <c r="J944" s="40"/>
      <c r="K944" s="40" t="n">
        <f aca="false">IF(G944="",0,G944-I944-IF(J944="",0,J944))</f>
        <v>0</v>
      </c>
      <c r="L944" s="40" t="n">
        <f aca="false">IF(O944="",0,IFERROR(INDEX(Purchases!I:I,MATCH(O944*1,Purchases!A:A,0)),0))</f>
        <v>0</v>
      </c>
      <c r="M944" s="40" t="n">
        <f aca="false">IF(G944="",0,K944-L944)</f>
        <v>0</v>
      </c>
      <c r="N944" s="48" t="str">
        <f aca="false">IFERROR(IF(G944="","",M944/G944),"")</f>
        <v/>
      </c>
      <c r="O944" s="39"/>
      <c r="P944" s="39"/>
      <c r="Q944" s="39"/>
      <c r="R944" s="39"/>
      <c r="S944" s="48" t="n">
        <f aca="false">IFERROR(VLOOKUP(H944,Settings!B14:C25,2,FALSE()),0)</f>
        <v>0</v>
      </c>
    </row>
    <row r="945" customFormat="false" ht="15" hidden="false" customHeight="false" outlineLevel="0" collapsed="false">
      <c r="A945" s="41" t="str">
        <f aca="false">IF(B945="","",ROW()-3)</f>
        <v/>
      </c>
      <c r="B945" s="42"/>
      <c r="G945" s="44"/>
      <c r="I945" s="44" t="n">
        <f aca="false">IF(G945="",0,G945*S945)</f>
        <v>0</v>
      </c>
      <c r="J945" s="44"/>
      <c r="K945" s="44" t="n">
        <f aca="false">IF(G945="",0,G945-I945-IF(J945="",0,J945))</f>
        <v>0</v>
      </c>
      <c r="L945" s="44" t="n">
        <f aca="false">IF(O945="",0,IFERROR(INDEX(Purchases!I:I,MATCH(O945*1,Purchases!A:A,0)),0))</f>
        <v>0</v>
      </c>
      <c r="M945" s="44" t="n">
        <f aca="false">IF(G945="",0,K945-L945)</f>
        <v>0</v>
      </c>
      <c r="N945" s="49" t="str">
        <f aca="false">IFERROR(IF(G945="","",M945/G945),"")</f>
        <v/>
      </c>
      <c r="S945" s="49" t="n">
        <f aca="false">IFERROR(VLOOKUP(H945,Settings!B14:C25,2,FALSE()),0)</f>
        <v>0</v>
      </c>
    </row>
    <row r="946" customFormat="false" ht="15" hidden="false" customHeight="false" outlineLevel="0" collapsed="false">
      <c r="A946" s="37" t="str">
        <f aca="false">IF(B946="","",ROW()-3)</f>
        <v/>
      </c>
      <c r="B946" s="38"/>
      <c r="C946" s="39"/>
      <c r="D946" s="39"/>
      <c r="E946" s="39"/>
      <c r="F946" s="39"/>
      <c r="G946" s="40"/>
      <c r="H946" s="39"/>
      <c r="I946" s="40" t="n">
        <f aca="false">IF(G946="",0,G946*S946)</f>
        <v>0</v>
      </c>
      <c r="J946" s="40"/>
      <c r="K946" s="40" t="n">
        <f aca="false">IF(G946="",0,G946-I946-IF(J946="",0,J946))</f>
        <v>0</v>
      </c>
      <c r="L946" s="40" t="n">
        <f aca="false">IF(O946="",0,IFERROR(INDEX(Purchases!I:I,MATCH(O946*1,Purchases!A:A,0)),0))</f>
        <v>0</v>
      </c>
      <c r="M946" s="40" t="n">
        <f aca="false">IF(G946="",0,K946-L946)</f>
        <v>0</v>
      </c>
      <c r="N946" s="48" t="str">
        <f aca="false">IFERROR(IF(G946="","",M946/G946),"")</f>
        <v/>
      </c>
      <c r="O946" s="39"/>
      <c r="P946" s="39"/>
      <c r="Q946" s="39"/>
      <c r="R946" s="39"/>
      <c r="S946" s="48" t="n">
        <f aca="false">IFERROR(VLOOKUP(H946,Settings!B14:C25,2,FALSE()),0)</f>
        <v>0</v>
      </c>
    </row>
    <row r="947" customFormat="false" ht="15" hidden="false" customHeight="false" outlineLevel="0" collapsed="false">
      <c r="A947" s="41" t="str">
        <f aca="false">IF(B947="","",ROW()-3)</f>
        <v/>
      </c>
      <c r="B947" s="42"/>
      <c r="G947" s="44"/>
      <c r="I947" s="44" t="n">
        <f aca="false">IF(G947="",0,G947*S947)</f>
        <v>0</v>
      </c>
      <c r="J947" s="44"/>
      <c r="K947" s="44" t="n">
        <f aca="false">IF(G947="",0,G947-I947-IF(J947="",0,J947))</f>
        <v>0</v>
      </c>
      <c r="L947" s="44" t="n">
        <f aca="false">IF(O947="",0,IFERROR(INDEX(Purchases!I:I,MATCH(O947*1,Purchases!A:A,0)),0))</f>
        <v>0</v>
      </c>
      <c r="M947" s="44" t="n">
        <f aca="false">IF(G947="",0,K947-L947)</f>
        <v>0</v>
      </c>
      <c r="N947" s="49" t="str">
        <f aca="false">IFERROR(IF(G947="","",M947/G947),"")</f>
        <v/>
      </c>
      <c r="S947" s="49" t="n">
        <f aca="false">IFERROR(VLOOKUP(H947,Settings!B14:C25,2,FALSE()),0)</f>
        <v>0</v>
      </c>
    </row>
    <row r="948" customFormat="false" ht="15" hidden="false" customHeight="false" outlineLevel="0" collapsed="false">
      <c r="A948" s="37" t="str">
        <f aca="false">IF(B948="","",ROW()-3)</f>
        <v/>
      </c>
      <c r="B948" s="38"/>
      <c r="C948" s="39"/>
      <c r="D948" s="39"/>
      <c r="E948" s="39"/>
      <c r="F948" s="39"/>
      <c r="G948" s="40"/>
      <c r="H948" s="39"/>
      <c r="I948" s="40" t="n">
        <f aca="false">IF(G948="",0,G948*S948)</f>
        <v>0</v>
      </c>
      <c r="J948" s="40"/>
      <c r="K948" s="40" t="n">
        <f aca="false">IF(G948="",0,G948-I948-IF(J948="",0,J948))</f>
        <v>0</v>
      </c>
      <c r="L948" s="40" t="n">
        <f aca="false">IF(O948="",0,IFERROR(INDEX(Purchases!I:I,MATCH(O948*1,Purchases!A:A,0)),0))</f>
        <v>0</v>
      </c>
      <c r="M948" s="40" t="n">
        <f aca="false">IF(G948="",0,K948-L948)</f>
        <v>0</v>
      </c>
      <c r="N948" s="48" t="str">
        <f aca="false">IFERROR(IF(G948="","",M948/G948),"")</f>
        <v/>
      </c>
      <c r="O948" s="39"/>
      <c r="P948" s="39"/>
      <c r="Q948" s="39"/>
      <c r="R948" s="39"/>
      <c r="S948" s="48" t="n">
        <f aca="false">IFERROR(VLOOKUP(H948,Settings!B14:C25,2,FALSE()),0)</f>
        <v>0</v>
      </c>
    </row>
    <row r="949" customFormat="false" ht="15" hidden="false" customHeight="false" outlineLevel="0" collapsed="false">
      <c r="A949" s="41" t="str">
        <f aca="false">IF(B949="","",ROW()-3)</f>
        <v/>
      </c>
      <c r="B949" s="42"/>
      <c r="G949" s="44"/>
      <c r="I949" s="44" t="n">
        <f aca="false">IF(G949="",0,G949*S949)</f>
        <v>0</v>
      </c>
      <c r="J949" s="44"/>
      <c r="K949" s="44" t="n">
        <f aca="false">IF(G949="",0,G949-I949-IF(J949="",0,J949))</f>
        <v>0</v>
      </c>
      <c r="L949" s="44" t="n">
        <f aca="false">IF(O949="",0,IFERROR(INDEX(Purchases!I:I,MATCH(O949*1,Purchases!A:A,0)),0))</f>
        <v>0</v>
      </c>
      <c r="M949" s="44" t="n">
        <f aca="false">IF(G949="",0,K949-L949)</f>
        <v>0</v>
      </c>
      <c r="N949" s="49" t="str">
        <f aca="false">IFERROR(IF(G949="","",M949/G949),"")</f>
        <v/>
      </c>
      <c r="S949" s="49" t="n">
        <f aca="false">IFERROR(VLOOKUP(H949,Settings!B14:C25,2,FALSE()),0)</f>
        <v>0</v>
      </c>
    </row>
    <row r="950" customFormat="false" ht="15" hidden="false" customHeight="false" outlineLevel="0" collapsed="false">
      <c r="A950" s="37" t="str">
        <f aca="false">IF(B950="","",ROW()-3)</f>
        <v/>
      </c>
      <c r="B950" s="38"/>
      <c r="C950" s="39"/>
      <c r="D950" s="39"/>
      <c r="E950" s="39"/>
      <c r="F950" s="39"/>
      <c r="G950" s="40"/>
      <c r="H950" s="39"/>
      <c r="I950" s="40" t="n">
        <f aca="false">IF(G950="",0,G950*S950)</f>
        <v>0</v>
      </c>
      <c r="J950" s="40"/>
      <c r="K950" s="40" t="n">
        <f aca="false">IF(G950="",0,G950-I950-IF(J950="",0,J950))</f>
        <v>0</v>
      </c>
      <c r="L950" s="40" t="n">
        <f aca="false">IF(O950="",0,IFERROR(INDEX(Purchases!I:I,MATCH(O950*1,Purchases!A:A,0)),0))</f>
        <v>0</v>
      </c>
      <c r="M950" s="40" t="n">
        <f aca="false">IF(G950="",0,K950-L950)</f>
        <v>0</v>
      </c>
      <c r="N950" s="48" t="str">
        <f aca="false">IFERROR(IF(G950="","",M950/G950),"")</f>
        <v/>
      </c>
      <c r="O950" s="39"/>
      <c r="P950" s="39"/>
      <c r="Q950" s="39"/>
      <c r="R950" s="39"/>
      <c r="S950" s="48" t="n">
        <f aca="false">IFERROR(VLOOKUP(H950,Settings!B14:C25,2,FALSE()),0)</f>
        <v>0</v>
      </c>
    </row>
    <row r="951" customFormat="false" ht="15" hidden="false" customHeight="false" outlineLevel="0" collapsed="false">
      <c r="A951" s="41" t="str">
        <f aca="false">IF(B951="","",ROW()-3)</f>
        <v/>
      </c>
      <c r="B951" s="42"/>
      <c r="G951" s="44"/>
      <c r="I951" s="44" t="n">
        <f aca="false">IF(G951="",0,G951*S951)</f>
        <v>0</v>
      </c>
      <c r="J951" s="44"/>
      <c r="K951" s="44" t="n">
        <f aca="false">IF(G951="",0,G951-I951-IF(J951="",0,J951))</f>
        <v>0</v>
      </c>
      <c r="L951" s="44" t="n">
        <f aca="false">IF(O951="",0,IFERROR(INDEX(Purchases!I:I,MATCH(O951*1,Purchases!A:A,0)),0))</f>
        <v>0</v>
      </c>
      <c r="M951" s="44" t="n">
        <f aca="false">IF(G951="",0,K951-L951)</f>
        <v>0</v>
      </c>
      <c r="N951" s="49" t="str">
        <f aca="false">IFERROR(IF(G951="","",M951/G951),"")</f>
        <v/>
      </c>
      <c r="S951" s="49" t="n">
        <f aca="false">IFERROR(VLOOKUP(H951,Settings!B14:C25,2,FALSE()),0)</f>
        <v>0</v>
      </c>
    </row>
    <row r="952" customFormat="false" ht="15" hidden="false" customHeight="false" outlineLevel="0" collapsed="false">
      <c r="A952" s="37" t="str">
        <f aca="false">IF(B952="","",ROW()-3)</f>
        <v/>
      </c>
      <c r="B952" s="38"/>
      <c r="C952" s="39"/>
      <c r="D952" s="39"/>
      <c r="E952" s="39"/>
      <c r="F952" s="39"/>
      <c r="G952" s="40"/>
      <c r="H952" s="39"/>
      <c r="I952" s="40" t="n">
        <f aca="false">IF(G952="",0,G952*S952)</f>
        <v>0</v>
      </c>
      <c r="J952" s="40"/>
      <c r="K952" s="40" t="n">
        <f aca="false">IF(G952="",0,G952-I952-IF(J952="",0,J952))</f>
        <v>0</v>
      </c>
      <c r="L952" s="40" t="n">
        <f aca="false">IF(O952="",0,IFERROR(INDEX(Purchases!I:I,MATCH(O952*1,Purchases!A:A,0)),0))</f>
        <v>0</v>
      </c>
      <c r="M952" s="40" t="n">
        <f aca="false">IF(G952="",0,K952-L952)</f>
        <v>0</v>
      </c>
      <c r="N952" s="48" t="str">
        <f aca="false">IFERROR(IF(G952="","",M952/G952),"")</f>
        <v/>
      </c>
      <c r="O952" s="39"/>
      <c r="P952" s="39"/>
      <c r="Q952" s="39"/>
      <c r="R952" s="39"/>
      <c r="S952" s="48" t="n">
        <f aca="false">IFERROR(VLOOKUP(H952,Settings!B14:C25,2,FALSE()),0)</f>
        <v>0</v>
      </c>
    </row>
    <row r="953" customFormat="false" ht="15" hidden="false" customHeight="false" outlineLevel="0" collapsed="false">
      <c r="A953" s="41" t="str">
        <f aca="false">IF(B953="","",ROW()-3)</f>
        <v/>
      </c>
      <c r="B953" s="42"/>
      <c r="G953" s="44"/>
      <c r="I953" s="44" t="n">
        <f aca="false">IF(G953="",0,G953*S953)</f>
        <v>0</v>
      </c>
      <c r="J953" s="44"/>
      <c r="K953" s="44" t="n">
        <f aca="false">IF(G953="",0,G953-I953-IF(J953="",0,J953))</f>
        <v>0</v>
      </c>
      <c r="L953" s="44" t="n">
        <f aca="false">IF(O953="",0,IFERROR(INDEX(Purchases!I:I,MATCH(O953*1,Purchases!A:A,0)),0))</f>
        <v>0</v>
      </c>
      <c r="M953" s="44" t="n">
        <f aca="false">IF(G953="",0,K953-L953)</f>
        <v>0</v>
      </c>
      <c r="N953" s="49" t="str">
        <f aca="false">IFERROR(IF(G953="","",M953/G953),"")</f>
        <v/>
      </c>
      <c r="S953" s="49" t="n">
        <f aca="false">IFERROR(VLOOKUP(H953,Settings!B14:C25,2,FALSE()),0)</f>
        <v>0</v>
      </c>
    </row>
    <row r="954" customFormat="false" ht="15" hidden="false" customHeight="false" outlineLevel="0" collapsed="false">
      <c r="A954" s="37" t="str">
        <f aca="false">IF(B954="","",ROW()-3)</f>
        <v/>
      </c>
      <c r="B954" s="38"/>
      <c r="C954" s="39"/>
      <c r="D954" s="39"/>
      <c r="E954" s="39"/>
      <c r="F954" s="39"/>
      <c r="G954" s="40"/>
      <c r="H954" s="39"/>
      <c r="I954" s="40" t="n">
        <f aca="false">IF(G954="",0,G954*S954)</f>
        <v>0</v>
      </c>
      <c r="J954" s="40"/>
      <c r="K954" s="40" t="n">
        <f aca="false">IF(G954="",0,G954-I954-IF(J954="",0,J954))</f>
        <v>0</v>
      </c>
      <c r="L954" s="40" t="n">
        <f aca="false">IF(O954="",0,IFERROR(INDEX(Purchases!I:I,MATCH(O954*1,Purchases!A:A,0)),0))</f>
        <v>0</v>
      </c>
      <c r="M954" s="40" t="n">
        <f aca="false">IF(G954="",0,K954-L954)</f>
        <v>0</v>
      </c>
      <c r="N954" s="48" t="str">
        <f aca="false">IFERROR(IF(G954="","",M954/G954),"")</f>
        <v/>
      </c>
      <c r="O954" s="39"/>
      <c r="P954" s="39"/>
      <c r="Q954" s="39"/>
      <c r="R954" s="39"/>
      <c r="S954" s="48" t="n">
        <f aca="false">IFERROR(VLOOKUP(H954,Settings!B14:C25,2,FALSE()),0)</f>
        <v>0</v>
      </c>
    </row>
    <row r="955" customFormat="false" ht="15" hidden="false" customHeight="false" outlineLevel="0" collapsed="false">
      <c r="A955" s="41" t="str">
        <f aca="false">IF(B955="","",ROW()-3)</f>
        <v/>
      </c>
      <c r="B955" s="42"/>
      <c r="G955" s="44"/>
      <c r="I955" s="44" t="n">
        <f aca="false">IF(G955="",0,G955*S955)</f>
        <v>0</v>
      </c>
      <c r="J955" s="44"/>
      <c r="K955" s="44" t="n">
        <f aca="false">IF(G955="",0,G955-I955-IF(J955="",0,J955))</f>
        <v>0</v>
      </c>
      <c r="L955" s="44" t="n">
        <f aca="false">IF(O955="",0,IFERROR(INDEX(Purchases!I:I,MATCH(O955*1,Purchases!A:A,0)),0))</f>
        <v>0</v>
      </c>
      <c r="M955" s="44" t="n">
        <f aca="false">IF(G955="",0,K955-L955)</f>
        <v>0</v>
      </c>
      <c r="N955" s="49" t="str">
        <f aca="false">IFERROR(IF(G955="","",M955/G955),"")</f>
        <v/>
      </c>
      <c r="S955" s="49" t="n">
        <f aca="false">IFERROR(VLOOKUP(H955,Settings!B14:C25,2,FALSE()),0)</f>
        <v>0</v>
      </c>
    </row>
    <row r="956" customFormat="false" ht="15" hidden="false" customHeight="false" outlineLevel="0" collapsed="false">
      <c r="A956" s="37" t="str">
        <f aca="false">IF(B956="","",ROW()-3)</f>
        <v/>
      </c>
      <c r="B956" s="38"/>
      <c r="C956" s="39"/>
      <c r="D956" s="39"/>
      <c r="E956" s="39"/>
      <c r="F956" s="39"/>
      <c r="G956" s="40"/>
      <c r="H956" s="39"/>
      <c r="I956" s="40" t="n">
        <f aca="false">IF(G956="",0,G956*S956)</f>
        <v>0</v>
      </c>
      <c r="J956" s="40"/>
      <c r="K956" s="40" t="n">
        <f aca="false">IF(G956="",0,G956-I956-IF(J956="",0,J956))</f>
        <v>0</v>
      </c>
      <c r="L956" s="40" t="n">
        <f aca="false">IF(O956="",0,IFERROR(INDEX(Purchases!I:I,MATCH(O956*1,Purchases!A:A,0)),0))</f>
        <v>0</v>
      </c>
      <c r="M956" s="40" t="n">
        <f aca="false">IF(G956="",0,K956-L956)</f>
        <v>0</v>
      </c>
      <c r="N956" s="48" t="str">
        <f aca="false">IFERROR(IF(G956="","",M956/G956),"")</f>
        <v/>
      </c>
      <c r="O956" s="39"/>
      <c r="P956" s="39"/>
      <c r="Q956" s="39"/>
      <c r="R956" s="39"/>
      <c r="S956" s="48" t="n">
        <f aca="false">IFERROR(VLOOKUP(H956,Settings!B14:C25,2,FALSE()),0)</f>
        <v>0</v>
      </c>
    </row>
    <row r="957" customFormat="false" ht="15" hidden="false" customHeight="false" outlineLevel="0" collapsed="false">
      <c r="A957" s="41" t="str">
        <f aca="false">IF(B957="","",ROW()-3)</f>
        <v/>
      </c>
      <c r="B957" s="42"/>
      <c r="G957" s="44"/>
      <c r="I957" s="44" t="n">
        <f aca="false">IF(G957="",0,G957*S957)</f>
        <v>0</v>
      </c>
      <c r="J957" s="44"/>
      <c r="K957" s="44" t="n">
        <f aca="false">IF(G957="",0,G957-I957-IF(J957="",0,J957))</f>
        <v>0</v>
      </c>
      <c r="L957" s="44" t="n">
        <f aca="false">IF(O957="",0,IFERROR(INDEX(Purchases!I:I,MATCH(O957*1,Purchases!A:A,0)),0))</f>
        <v>0</v>
      </c>
      <c r="M957" s="44" t="n">
        <f aca="false">IF(G957="",0,K957-L957)</f>
        <v>0</v>
      </c>
      <c r="N957" s="49" t="str">
        <f aca="false">IFERROR(IF(G957="","",M957/G957),"")</f>
        <v/>
      </c>
      <c r="S957" s="49" t="n">
        <f aca="false">IFERROR(VLOOKUP(H957,Settings!B14:C25,2,FALSE()),0)</f>
        <v>0</v>
      </c>
    </row>
    <row r="958" customFormat="false" ht="15" hidden="false" customHeight="false" outlineLevel="0" collapsed="false">
      <c r="A958" s="37" t="str">
        <f aca="false">IF(B958="","",ROW()-3)</f>
        <v/>
      </c>
      <c r="B958" s="38"/>
      <c r="C958" s="39"/>
      <c r="D958" s="39"/>
      <c r="E958" s="39"/>
      <c r="F958" s="39"/>
      <c r="G958" s="40"/>
      <c r="H958" s="39"/>
      <c r="I958" s="40" t="n">
        <f aca="false">IF(G958="",0,G958*S958)</f>
        <v>0</v>
      </c>
      <c r="J958" s="40"/>
      <c r="K958" s="40" t="n">
        <f aca="false">IF(G958="",0,G958-I958-IF(J958="",0,J958))</f>
        <v>0</v>
      </c>
      <c r="L958" s="40" t="n">
        <f aca="false">IF(O958="",0,IFERROR(INDEX(Purchases!I:I,MATCH(O958*1,Purchases!A:A,0)),0))</f>
        <v>0</v>
      </c>
      <c r="M958" s="40" t="n">
        <f aca="false">IF(G958="",0,K958-L958)</f>
        <v>0</v>
      </c>
      <c r="N958" s="48" t="str">
        <f aca="false">IFERROR(IF(G958="","",M958/G958),"")</f>
        <v/>
      </c>
      <c r="O958" s="39"/>
      <c r="P958" s="39"/>
      <c r="Q958" s="39"/>
      <c r="R958" s="39"/>
      <c r="S958" s="48" t="n">
        <f aca="false">IFERROR(VLOOKUP(H958,Settings!B14:C25,2,FALSE()),0)</f>
        <v>0</v>
      </c>
    </row>
    <row r="959" customFormat="false" ht="15" hidden="false" customHeight="false" outlineLevel="0" collapsed="false">
      <c r="A959" s="41" t="str">
        <f aca="false">IF(B959="","",ROW()-3)</f>
        <v/>
      </c>
      <c r="B959" s="42"/>
      <c r="G959" s="44"/>
      <c r="I959" s="44" t="n">
        <f aca="false">IF(G959="",0,G959*S959)</f>
        <v>0</v>
      </c>
      <c r="J959" s="44"/>
      <c r="K959" s="44" t="n">
        <f aca="false">IF(G959="",0,G959-I959-IF(J959="",0,J959))</f>
        <v>0</v>
      </c>
      <c r="L959" s="44" t="n">
        <f aca="false">IF(O959="",0,IFERROR(INDEX(Purchases!I:I,MATCH(O959*1,Purchases!A:A,0)),0))</f>
        <v>0</v>
      </c>
      <c r="M959" s="44" t="n">
        <f aca="false">IF(G959="",0,K959-L959)</f>
        <v>0</v>
      </c>
      <c r="N959" s="49" t="str">
        <f aca="false">IFERROR(IF(G959="","",M959/G959),"")</f>
        <v/>
      </c>
      <c r="S959" s="49" t="n">
        <f aca="false">IFERROR(VLOOKUP(H959,Settings!B14:C25,2,FALSE()),0)</f>
        <v>0</v>
      </c>
    </row>
    <row r="960" customFormat="false" ht="15" hidden="false" customHeight="false" outlineLevel="0" collapsed="false">
      <c r="A960" s="37" t="str">
        <f aca="false">IF(B960="","",ROW()-3)</f>
        <v/>
      </c>
      <c r="B960" s="38"/>
      <c r="C960" s="39"/>
      <c r="D960" s="39"/>
      <c r="E960" s="39"/>
      <c r="F960" s="39"/>
      <c r="G960" s="40"/>
      <c r="H960" s="39"/>
      <c r="I960" s="40" t="n">
        <f aca="false">IF(G960="",0,G960*S960)</f>
        <v>0</v>
      </c>
      <c r="J960" s="40"/>
      <c r="K960" s="40" t="n">
        <f aca="false">IF(G960="",0,G960-I960-IF(J960="",0,J960))</f>
        <v>0</v>
      </c>
      <c r="L960" s="40" t="n">
        <f aca="false">IF(O960="",0,IFERROR(INDEX(Purchases!I:I,MATCH(O960*1,Purchases!A:A,0)),0))</f>
        <v>0</v>
      </c>
      <c r="M960" s="40" t="n">
        <f aca="false">IF(G960="",0,K960-L960)</f>
        <v>0</v>
      </c>
      <c r="N960" s="48" t="str">
        <f aca="false">IFERROR(IF(G960="","",M960/G960),"")</f>
        <v/>
      </c>
      <c r="O960" s="39"/>
      <c r="P960" s="39"/>
      <c r="Q960" s="39"/>
      <c r="R960" s="39"/>
      <c r="S960" s="48" t="n">
        <f aca="false">IFERROR(VLOOKUP(H960,Settings!B14:C25,2,FALSE()),0)</f>
        <v>0</v>
      </c>
    </row>
    <row r="961" customFormat="false" ht="15" hidden="false" customHeight="false" outlineLevel="0" collapsed="false">
      <c r="A961" s="41" t="str">
        <f aca="false">IF(B961="","",ROW()-3)</f>
        <v/>
      </c>
      <c r="B961" s="42"/>
      <c r="G961" s="44"/>
      <c r="I961" s="44" t="n">
        <f aca="false">IF(G961="",0,G961*S961)</f>
        <v>0</v>
      </c>
      <c r="J961" s="44"/>
      <c r="K961" s="44" t="n">
        <f aca="false">IF(G961="",0,G961-I961-IF(J961="",0,J961))</f>
        <v>0</v>
      </c>
      <c r="L961" s="44" t="n">
        <f aca="false">IF(O961="",0,IFERROR(INDEX(Purchases!I:I,MATCH(O961*1,Purchases!A:A,0)),0))</f>
        <v>0</v>
      </c>
      <c r="M961" s="44" t="n">
        <f aca="false">IF(G961="",0,K961-L961)</f>
        <v>0</v>
      </c>
      <c r="N961" s="49" t="str">
        <f aca="false">IFERROR(IF(G961="","",M961/G961),"")</f>
        <v/>
      </c>
      <c r="S961" s="49" t="n">
        <f aca="false">IFERROR(VLOOKUP(H961,Settings!B14:C25,2,FALSE()),0)</f>
        <v>0</v>
      </c>
    </row>
    <row r="962" customFormat="false" ht="15" hidden="false" customHeight="false" outlineLevel="0" collapsed="false">
      <c r="A962" s="37" t="str">
        <f aca="false">IF(B962="","",ROW()-3)</f>
        <v/>
      </c>
      <c r="B962" s="38"/>
      <c r="C962" s="39"/>
      <c r="D962" s="39"/>
      <c r="E962" s="39"/>
      <c r="F962" s="39"/>
      <c r="G962" s="40"/>
      <c r="H962" s="39"/>
      <c r="I962" s="40" t="n">
        <f aca="false">IF(G962="",0,G962*S962)</f>
        <v>0</v>
      </c>
      <c r="J962" s="40"/>
      <c r="K962" s="40" t="n">
        <f aca="false">IF(G962="",0,G962-I962-IF(J962="",0,J962))</f>
        <v>0</v>
      </c>
      <c r="L962" s="40" t="n">
        <f aca="false">IF(O962="",0,IFERROR(INDEX(Purchases!I:I,MATCH(O962*1,Purchases!A:A,0)),0))</f>
        <v>0</v>
      </c>
      <c r="M962" s="40" t="n">
        <f aca="false">IF(G962="",0,K962-L962)</f>
        <v>0</v>
      </c>
      <c r="N962" s="48" t="str">
        <f aca="false">IFERROR(IF(G962="","",M962/G962),"")</f>
        <v/>
      </c>
      <c r="O962" s="39"/>
      <c r="P962" s="39"/>
      <c r="Q962" s="39"/>
      <c r="R962" s="39"/>
      <c r="S962" s="48" t="n">
        <f aca="false">IFERROR(VLOOKUP(H962,Settings!B14:C25,2,FALSE()),0)</f>
        <v>0</v>
      </c>
    </row>
    <row r="963" customFormat="false" ht="15" hidden="false" customHeight="false" outlineLevel="0" collapsed="false">
      <c r="A963" s="41" t="str">
        <f aca="false">IF(B963="","",ROW()-3)</f>
        <v/>
      </c>
      <c r="B963" s="42"/>
      <c r="G963" s="44"/>
      <c r="I963" s="44" t="n">
        <f aca="false">IF(G963="",0,G963*S963)</f>
        <v>0</v>
      </c>
      <c r="J963" s="44"/>
      <c r="K963" s="44" t="n">
        <f aca="false">IF(G963="",0,G963-I963-IF(J963="",0,J963))</f>
        <v>0</v>
      </c>
      <c r="L963" s="44" t="n">
        <f aca="false">IF(O963="",0,IFERROR(INDEX(Purchases!I:I,MATCH(O963*1,Purchases!A:A,0)),0))</f>
        <v>0</v>
      </c>
      <c r="M963" s="44" t="n">
        <f aca="false">IF(G963="",0,K963-L963)</f>
        <v>0</v>
      </c>
      <c r="N963" s="49" t="str">
        <f aca="false">IFERROR(IF(G963="","",M963/G963),"")</f>
        <v/>
      </c>
      <c r="S963" s="49" t="n">
        <f aca="false">IFERROR(VLOOKUP(H963,Settings!B14:C25,2,FALSE()),0)</f>
        <v>0</v>
      </c>
    </row>
    <row r="964" customFormat="false" ht="15" hidden="false" customHeight="false" outlineLevel="0" collapsed="false">
      <c r="A964" s="37" t="str">
        <f aca="false">IF(B964="","",ROW()-3)</f>
        <v/>
      </c>
      <c r="B964" s="38"/>
      <c r="C964" s="39"/>
      <c r="D964" s="39"/>
      <c r="E964" s="39"/>
      <c r="F964" s="39"/>
      <c r="G964" s="40"/>
      <c r="H964" s="39"/>
      <c r="I964" s="40" t="n">
        <f aca="false">IF(G964="",0,G964*S964)</f>
        <v>0</v>
      </c>
      <c r="J964" s="40"/>
      <c r="K964" s="40" t="n">
        <f aca="false">IF(G964="",0,G964-I964-IF(J964="",0,J964))</f>
        <v>0</v>
      </c>
      <c r="L964" s="40" t="n">
        <f aca="false">IF(O964="",0,IFERROR(INDEX(Purchases!I:I,MATCH(O964*1,Purchases!A:A,0)),0))</f>
        <v>0</v>
      </c>
      <c r="M964" s="40" t="n">
        <f aca="false">IF(G964="",0,K964-L964)</f>
        <v>0</v>
      </c>
      <c r="N964" s="48" t="str">
        <f aca="false">IFERROR(IF(G964="","",M964/G964),"")</f>
        <v/>
      </c>
      <c r="O964" s="39"/>
      <c r="P964" s="39"/>
      <c r="Q964" s="39"/>
      <c r="R964" s="39"/>
      <c r="S964" s="48" t="n">
        <f aca="false">IFERROR(VLOOKUP(H964,Settings!B14:C25,2,FALSE()),0)</f>
        <v>0</v>
      </c>
    </row>
    <row r="965" customFormat="false" ht="15" hidden="false" customHeight="false" outlineLevel="0" collapsed="false">
      <c r="A965" s="41" t="str">
        <f aca="false">IF(B965="","",ROW()-3)</f>
        <v/>
      </c>
      <c r="B965" s="42"/>
      <c r="G965" s="44"/>
      <c r="I965" s="44" t="n">
        <f aca="false">IF(G965="",0,G965*S965)</f>
        <v>0</v>
      </c>
      <c r="J965" s="44"/>
      <c r="K965" s="44" t="n">
        <f aca="false">IF(G965="",0,G965-I965-IF(J965="",0,J965))</f>
        <v>0</v>
      </c>
      <c r="L965" s="44" t="n">
        <f aca="false">IF(O965="",0,IFERROR(INDEX(Purchases!I:I,MATCH(O965*1,Purchases!A:A,0)),0))</f>
        <v>0</v>
      </c>
      <c r="M965" s="44" t="n">
        <f aca="false">IF(G965="",0,K965-L965)</f>
        <v>0</v>
      </c>
      <c r="N965" s="49" t="str">
        <f aca="false">IFERROR(IF(G965="","",M965/G965),"")</f>
        <v/>
      </c>
      <c r="S965" s="49" t="n">
        <f aca="false">IFERROR(VLOOKUP(H965,Settings!B14:C25,2,FALSE()),0)</f>
        <v>0</v>
      </c>
    </row>
    <row r="966" customFormat="false" ht="15" hidden="false" customHeight="false" outlineLevel="0" collapsed="false">
      <c r="A966" s="37" t="str">
        <f aca="false">IF(B966="","",ROW()-3)</f>
        <v/>
      </c>
      <c r="B966" s="38"/>
      <c r="C966" s="39"/>
      <c r="D966" s="39"/>
      <c r="E966" s="39"/>
      <c r="F966" s="39"/>
      <c r="G966" s="40"/>
      <c r="H966" s="39"/>
      <c r="I966" s="40" t="n">
        <f aca="false">IF(G966="",0,G966*S966)</f>
        <v>0</v>
      </c>
      <c r="J966" s="40"/>
      <c r="K966" s="40" t="n">
        <f aca="false">IF(G966="",0,G966-I966-IF(J966="",0,J966))</f>
        <v>0</v>
      </c>
      <c r="L966" s="40" t="n">
        <f aca="false">IF(O966="",0,IFERROR(INDEX(Purchases!I:I,MATCH(O966*1,Purchases!A:A,0)),0))</f>
        <v>0</v>
      </c>
      <c r="M966" s="40" t="n">
        <f aca="false">IF(G966="",0,K966-L966)</f>
        <v>0</v>
      </c>
      <c r="N966" s="48" t="str">
        <f aca="false">IFERROR(IF(G966="","",M966/G966),"")</f>
        <v/>
      </c>
      <c r="O966" s="39"/>
      <c r="P966" s="39"/>
      <c r="Q966" s="39"/>
      <c r="R966" s="39"/>
      <c r="S966" s="48" t="n">
        <f aca="false">IFERROR(VLOOKUP(H966,Settings!B14:C25,2,FALSE()),0)</f>
        <v>0</v>
      </c>
    </row>
    <row r="967" customFormat="false" ht="15" hidden="false" customHeight="false" outlineLevel="0" collapsed="false">
      <c r="A967" s="41" t="str">
        <f aca="false">IF(B967="","",ROW()-3)</f>
        <v/>
      </c>
      <c r="B967" s="42"/>
      <c r="G967" s="44"/>
      <c r="I967" s="44" t="n">
        <f aca="false">IF(G967="",0,G967*S967)</f>
        <v>0</v>
      </c>
      <c r="J967" s="44"/>
      <c r="K967" s="44" t="n">
        <f aca="false">IF(G967="",0,G967-I967-IF(J967="",0,J967))</f>
        <v>0</v>
      </c>
      <c r="L967" s="44" t="n">
        <f aca="false">IF(O967="",0,IFERROR(INDEX(Purchases!I:I,MATCH(O967*1,Purchases!A:A,0)),0))</f>
        <v>0</v>
      </c>
      <c r="M967" s="44" t="n">
        <f aca="false">IF(G967="",0,K967-L967)</f>
        <v>0</v>
      </c>
      <c r="N967" s="49" t="str">
        <f aca="false">IFERROR(IF(G967="","",M967/G967),"")</f>
        <v/>
      </c>
      <c r="S967" s="49" t="n">
        <f aca="false">IFERROR(VLOOKUP(H967,Settings!B14:C25,2,FALSE()),0)</f>
        <v>0</v>
      </c>
    </row>
    <row r="968" customFormat="false" ht="15" hidden="false" customHeight="false" outlineLevel="0" collapsed="false">
      <c r="A968" s="37" t="str">
        <f aca="false">IF(B968="","",ROW()-3)</f>
        <v/>
      </c>
      <c r="B968" s="38"/>
      <c r="C968" s="39"/>
      <c r="D968" s="39"/>
      <c r="E968" s="39"/>
      <c r="F968" s="39"/>
      <c r="G968" s="40"/>
      <c r="H968" s="39"/>
      <c r="I968" s="40" t="n">
        <f aca="false">IF(G968="",0,G968*S968)</f>
        <v>0</v>
      </c>
      <c r="J968" s="40"/>
      <c r="K968" s="40" t="n">
        <f aca="false">IF(G968="",0,G968-I968-IF(J968="",0,J968))</f>
        <v>0</v>
      </c>
      <c r="L968" s="40" t="n">
        <f aca="false">IF(O968="",0,IFERROR(INDEX(Purchases!I:I,MATCH(O968*1,Purchases!A:A,0)),0))</f>
        <v>0</v>
      </c>
      <c r="M968" s="40" t="n">
        <f aca="false">IF(G968="",0,K968-L968)</f>
        <v>0</v>
      </c>
      <c r="N968" s="48" t="str">
        <f aca="false">IFERROR(IF(G968="","",M968/G968),"")</f>
        <v/>
      </c>
      <c r="O968" s="39"/>
      <c r="P968" s="39"/>
      <c r="Q968" s="39"/>
      <c r="R968" s="39"/>
      <c r="S968" s="48" t="n">
        <f aca="false">IFERROR(VLOOKUP(H968,Settings!B14:C25,2,FALSE()),0)</f>
        <v>0</v>
      </c>
    </row>
    <row r="969" customFormat="false" ht="15" hidden="false" customHeight="false" outlineLevel="0" collapsed="false">
      <c r="A969" s="41" t="str">
        <f aca="false">IF(B969="","",ROW()-3)</f>
        <v/>
      </c>
      <c r="B969" s="42"/>
      <c r="G969" s="44"/>
      <c r="I969" s="44" t="n">
        <f aca="false">IF(G969="",0,G969*S969)</f>
        <v>0</v>
      </c>
      <c r="J969" s="44"/>
      <c r="K969" s="44" t="n">
        <f aca="false">IF(G969="",0,G969-I969-IF(J969="",0,J969))</f>
        <v>0</v>
      </c>
      <c r="L969" s="44" t="n">
        <f aca="false">IF(O969="",0,IFERROR(INDEX(Purchases!I:I,MATCH(O969*1,Purchases!A:A,0)),0))</f>
        <v>0</v>
      </c>
      <c r="M969" s="44" t="n">
        <f aca="false">IF(G969="",0,K969-L969)</f>
        <v>0</v>
      </c>
      <c r="N969" s="49" t="str">
        <f aca="false">IFERROR(IF(G969="","",M969/G969),"")</f>
        <v/>
      </c>
      <c r="S969" s="49" t="n">
        <f aca="false">IFERROR(VLOOKUP(H969,Settings!B14:C25,2,FALSE()),0)</f>
        <v>0</v>
      </c>
    </row>
    <row r="970" customFormat="false" ht="15" hidden="false" customHeight="false" outlineLevel="0" collapsed="false">
      <c r="A970" s="37" t="str">
        <f aca="false">IF(B970="","",ROW()-3)</f>
        <v/>
      </c>
      <c r="B970" s="38"/>
      <c r="C970" s="39"/>
      <c r="D970" s="39"/>
      <c r="E970" s="39"/>
      <c r="F970" s="39"/>
      <c r="G970" s="40"/>
      <c r="H970" s="39"/>
      <c r="I970" s="40" t="n">
        <f aca="false">IF(G970="",0,G970*S970)</f>
        <v>0</v>
      </c>
      <c r="J970" s="40"/>
      <c r="K970" s="40" t="n">
        <f aca="false">IF(G970="",0,G970-I970-IF(J970="",0,J970))</f>
        <v>0</v>
      </c>
      <c r="L970" s="40" t="n">
        <f aca="false">IF(O970="",0,IFERROR(INDEX(Purchases!I:I,MATCH(O970*1,Purchases!A:A,0)),0))</f>
        <v>0</v>
      </c>
      <c r="M970" s="40" t="n">
        <f aca="false">IF(G970="",0,K970-L970)</f>
        <v>0</v>
      </c>
      <c r="N970" s="48" t="str">
        <f aca="false">IFERROR(IF(G970="","",M970/G970),"")</f>
        <v/>
      </c>
      <c r="O970" s="39"/>
      <c r="P970" s="39"/>
      <c r="Q970" s="39"/>
      <c r="R970" s="39"/>
      <c r="S970" s="48" t="n">
        <f aca="false">IFERROR(VLOOKUP(H970,Settings!B14:C25,2,FALSE()),0)</f>
        <v>0</v>
      </c>
    </row>
    <row r="971" customFormat="false" ht="15" hidden="false" customHeight="false" outlineLevel="0" collapsed="false">
      <c r="A971" s="41" t="str">
        <f aca="false">IF(B971="","",ROW()-3)</f>
        <v/>
      </c>
      <c r="B971" s="42"/>
      <c r="G971" s="44"/>
      <c r="I971" s="44" t="n">
        <f aca="false">IF(G971="",0,G971*S971)</f>
        <v>0</v>
      </c>
      <c r="J971" s="44"/>
      <c r="K971" s="44" t="n">
        <f aca="false">IF(G971="",0,G971-I971-IF(J971="",0,J971))</f>
        <v>0</v>
      </c>
      <c r="L971" s="44" t="n">
        <f aca="false">IF(O971="",0,IFERROR(INDEX(Purchases!I:I,MATCH(O971*1,Purchases!A:A,0)),0))</f>
        <v>0</v>
      </c>
      <c r="M971" s="44" t="n">
        <f aca="false">IF(G971="",0,K971-L971)</f>
        <v>0</v>
      </c>
      <c r="N971" s="49" t="str">
        <f aca="false">IFERROR(IF(G971="","",M971/G971),"")</f>
        <v/>
      </c>
      <c r="S971" s="49" t="n">
        <f aca="false">IFERROR(VLOOKUP(H971,Settings!B14:C25,2,FALSE()),0)</f>
        <v>0</v>
      </c>
    </row>
    <row r="972" customFormat="false" ht="15" hidden="false" customHeight="false" outlineLevel="0" collapsed="false">
      <c r="A972" s="37" t="str">
        <f aca="false">IF(B972="","",ROW()-3)</f>
        <v/>
      </c>
      <c r="B972" s="38"/>
      <c r="C972" s="39"/>
      <c r="D972" s="39"/>
      <c r="E972" s="39"/>
      <c r="F972" s="39"/>
      <c r="G972" s="40"/>
      <c r="H972" s="39"/>
      <c r="I972" s="40" t="n">
        <f aca="false">IF(G972="",0,G972*S972)</f>
        <v>0</v>
      </c>
      <c r="J972" s="40"/>
      <c r="K972" s="40" t="n">
        <f aca="false">IF(G972="",0,G972-I972-IF(J972="",0,J972))</f>
        <v>0</v>
      </c>
      <c r="L972" s="40" t="n">
        <f aca="false">IF(O972="",0,IFERROR(INDEX(Purchases!I:I,MATCH(O972*1,Purchases!A:A,0)),0))</f>
        <v>0</v>
      </c>
      <c r="M972" s="40" t="n">
        <f aca="false">IF(G972="",0,K972-L972)</f>
        <v>0</v>
      </c>
      <c r="N972" s="48" t="str">
        <f aca="false">IFERROR(IF(G972="","",M972/G972),"")</f>
        <v/>
      </c>
      <c r="O972" s="39"/>
      <c r="P972" s="39"/>
      <c r="Q972" s="39"/>
      <c r="R972" s="39"/>
      <c r="S972" s="48" t="n">
        <f aca="false">IFERROR(VLOOKUP(H972,Settings!B14:C25,2,FALSE()),0)</f>
        <v>0</v>
      </c>
    </row>
    <row r="973" customFormat="false" ht="15" hidden="false" customHeight="false" outlineLevel="0" collapsed="false">
      <c r="A973" s="41" t="str">
        <f aca="false">IF(B973="","",ROW()-3)</f>
        <v/>
      </c>
      <c r="B973" s="42"/>
      <c r="G973" s="44"/>
      <c r="I973" s="44" t="n">
        <f aca="false">IF(G973="",0,G973*S973)</f>
        <v>0</v>
      </c>
      <c r="J973" s="44"/>
      <c r="K973" s="44" t="n">
        <f aca="false">IF(G973="",0,G973-I973-IF(J973="",0,J973))</f>
        <v>0</v>
      </c>
      <c r="L973" s="44" t="n">
        <f aca="false">IF(O973="",0,IFERROR(INDEX(Purchases!I:I,MATCH(O973*1,Purchases!A:A,0)),0))</f>
        <v>0</v>
      </c>
      <c r="M973" s="44" t="n">
        <f aca="false">IF(G973="",0,K973-L973)</f>
        <v>0</v>
      </c>
      <c r="N973" s="49" t="str">
        <f aca="false">IFERROR(IF(G973="","",M973/G973),"")</f>
        <v/>
      </c>
      <c r="S973" s="49" t="n">
        <f aca="false">IFERROR(VLOOKUP(H973,Settings!B14:C25,2,FALSE()),0)</f>
        <v>0</v>
      </c>
    </row>
    <row r="974" customFormat="false" ht="15" hidden="false" customHeight="false" outlineLevel="0" collapsed="false">
      <c r="A974" s="37" t="str">
        <f aca="false">IF(B974="","",ROW()-3)</f>
        <v/>
      </c>
      <c r="B974" s="38"/>
      <c r="C974" s="39"/>
      <c r="D974" s="39"/>
      <c r="E974" s="39"/>
      <c r="F974" s="39"/>
      <c r="G974" s="40"/>
      <c r="H974" s="39"/>
      <c r="I974" s="40" t="n">
        <f aca="false">IF(G974="",0,G974*S974)</f>
        <v>0</v>
      </c>
      <c r="J974" s="40"/>
      <c r="K974" s="40" t="n">
        <f aca="false">IF(G974="",0,G974-I974-IF(J974="",0,J974))</f>
        <v>0</v>
      </c>
      <c r="L974" s="40" t="n">
        <f aca="false">IF(O974="",0,IFERROR(INDEX(Purchases!I:I,MATCH(O974*1,Purchases!A:A,0)),0))</f>
        <v>0</v>
      </c>
      <c r="M974" s="40" t="n">
        <f aca="false">IF(G974="",0,K974-L974)</f>
        <v>0</v>
      </c>
      <c r="N974" s="48" t="str">
        <f aca="false">IFERROR(IF(G974="","",M974/G974),"")</f>
        <v/>
      </c>
      <c r="O974" s="39"/>
      <c r="P974" s="39"/>
      <c r="Q974" s="39"/>
      <c r="R974" s="39"/>
      <c r="S974" s="48" t="n">
        <f aca="false">IFERROR(VLOOKUP(H974,Settings!B14:C25,2,FALSE()),0)</f>
        <v>0</v>
      </c>
    </row>
    <row r="975" customFormat="false" ht="15" hidden="false" customHeight="false" outlineLevel="0" collapsed="false">
      <c r="A975" s="41" t="str">
        <f aca="false">IF(B975="","",ROW()-3)</f>
        <v/>
      </c>
      <c r="B975" s="42"/>
      <c r="G975" s="44"/>
      <c r="I975" s="44" t="n">
        <f aca="false">IF(G975="",0,G975*S975)</f>
        <v>0</v>
      </c>
      <c r="J975" s="44"/>
      <c r="K975" s="44" t="n">
        <f aca="false">IF(G975="",0,G975-I975-IF(J975="",0,J975))</f>
        <v>0</v>
      </c>
      <c r="L975" s="44" t="n">
        <f aca="false">IF(O975="",0,IFERROR(INDEX(Purchases!I:I,MATCH(O975*1,Purchases!A:A,0)),0))</f>
        <v>0</v>
      </c>
      <c r="M975" s="44" t="n">
        <f aca="false">IF(G975="",0,K975-L975)</f>
        <v>0</v>
      </c>
      <c r="N975" s="49" t="str">
        <f aca="false">IFERROR(IF(G975="","",M975/G975),"")</f>
        <v/>
      </c>
      <c r="S975" s="49" t="n">
        <f aca="false">IFERROR(VLOOKUP(H975,Settings!B14:C25,2,FALSE()),0)</f>
        <v>0</v>
      </c>
    </row>
    <row r="976" customFormat="false" ht="15" hidden="false" customHeight="false" outlineLevel="0" collapsed="false">
      <c r="A976" s="37" t="str">
        <f aca="false">IF(B976="","",ROW()-3)</f>
        <v/>
      </c>
      <c r="B976" s="38"/>
      <c r="C976" s="39"/>
      <c r="D976" s="39"/>
      <c r="E976" s="39"/>
      <c r="F976" s="39"/>
      <c r="G976" s="40"/>
      <c r="H976" s="39"/>
      <c r="I976" s="40" t="n">
        <f aca="false">IF(G976="",0,G976*S976)</f>
        <v>0</v>
      </c>
      <c r="J976" s="40"/>
      <c r="K976" s="40" t="n">
        <f aca="false">IF(G976="",0,G976-I976-IF(J976="",0,J976))</f>
        <v>0</v>
      </c>
      <c r="L976" s="40" t="n">
        <f aca="false">IF(O976="",0,IFERROR(INDEX(Purchases!I:I,MATCH(O976*1,Purchases!A:A,0)),0))</f>
        <v>0</v>
      </c>
      <c r="M976" s="40" t="n">
        <f aca="false">IF(G976="",0,K976-L976)</f>
        <v>0</v>
      </c>
      <c r="N976" s="48" t="str">
        <f aca="false">IFERROR(IF(G976="","",M976/G976),"")</f>
        <v/>
      </c>
      <c r="O976" s="39"/>
      <c r="P976" s="39"/>
      <c r="Q976" s="39"/>
      <c r="R976" s="39"/>
      <c r="S976" s="48" t="n">
        <f aca="false">IFERROR(VLOOKUP(H976,Settings!B14:C25,2,FALSE()),0)</f>
        <v>0</v>
      </c>
    </row>
    <row r="977" customFormat="false" ht="15" hidden="false" customHeight="false" outlineLevel="0" collapsed="false">
      <c r="A977" s="41" t="str">
        <f aca="false">IF(B977="","",ROW()-3)</f>
        <v/>
      </c>
      <c r="B977" s="42"/>
      <c r="G977" s="44"/>
      <c r="I977" s="44" t="n">
        <f aca="false">IF(G977="",0,G977*S977)</f>
        <v>0</v>
      </c>
      <c r="J977" s="44"/>
      <c r="K977" s="44" t="n">
        <f aca="false">IF(G977="",0,G977-I977-IF(J977="",0,J977))</f>
        <v>0</v>
      </c>
      <c r="L977" s="44" t="n">
        <f aca="false">IF(O977="",0,IFERROR(INDEX(Purchases!I:I,MATCH(O977*1,Purchases!A:A,0)),0))</f>
        <v>0</v>
      </c>
      <c r="M977" s="44" t="n">
        <f aca="false">IF(G977="",0,K977-L977)</f>
        <v>0</v>
      </c>
      <c r="N977" s="49" t="str">
        <f aca="false">IFERROR(IF(G977="","",M977/G977),"")</f>
        <v/>
      </c>
      <c r="S977" s="49" t="n">
        <f aca="false">IFERROR(VLOOKUP(H977,Settings!B14:C25,2,FALSE()),0)</f>
        <v>0</v>
      </c>
    </row>
    <row r="978" customFormat="false" ht="15" hidden="false" customHeight="false" outlineLevel="0" collapsed="false">
      <c r="A978" s="37" t="str">
        <f aca="false">IF(B978="","",ROW()-3)</f>
        <v/>
      </c>
      <c r="B978" s="38"/>
      <c r="C978" s="39"/>
      <c r="D978" s="39"/>
      <c r="E978" s="39"/>
      <c r="F978" s="39"/>
      <c r="G978" s="40"/>
      <c r="H978" s="39"/>
      <c r="I978" s="40" t="n">
        <f aca="false">IF(G978="",0,G978*S978)</f>
        <v>0</v>
      </c>
      <c r="J978" s="40"/>
      <c r="K978" s="40" t="n">
        <f aca="false">IF(G978="",0,G978-I978-IF(J978="",0,J978))</f>
        <v>0</v>
      </c>
      <c r="L978" s="40" t="n">
        <f aca="false">IF(O978="",0,IFERROR(INDEX(Purchases!I:I,MATCH(O978*1,Purchases!A:A,0)),0))</f>
        <v>0</v>
      </c>
      <c r="M978" s="40" t="n">
        <f aca="false">IF(G978="",0,K978-L978)</f>
        <v>0</v>
      </c>
      <c r="N978" s="48" t="str">
        <f aca="false">IFERROR(IF(G978="","",M978/G978),"")</f>
        <v/>
      </c>
      <c r="O978" s="39"/>
      <c r="P978" s="39"/>
      <c r="Q978" s="39"/>
      <c r="R978" s="39"/>
      <c r="S978" s="48" t="n">
        <f aca="false">IFERROR(VLOOKUP(H978,Settings!B14:C25,2,FALSE()),0)</f>
        <v>0</v>
      </c>
    </row>
    <row r="979" customFormat="false" ht="15" hidden="false" customHeight="false" outlineLevel="0" collapsed="false">
      <c r="A979" s="41" t="str">
        <f aca="false">IF(B979="","",ROW()-3)</f>
        <v/>
      </c>
      <c r="B979" s="42"/>
      <c r="G979" s="44"/>
      <c r="I979" s="44" t="n">
        <f aca="false">IF(G979="",0,G979*S979)</f>
        <v>0</v>
      </c>
      <c r="J979" s="44"/>
      <c r="K979" s="44" t="n">
        <f aca="false">IF(G979="",0,G979-I979-IF(J979="",0,J979))</f>
        <v>0</v>
      </c>
      <c r="L979" s="44" t="n">
        <f aca="false">IF(O979="",0,IFERROR(INDEX(Purchases!I:I,MATCH(O979*1,Purchases!A:A,0)),0))</f>
        <v>0</v>
      </c>
      <c r="M979" s="44" t="n">
        <f aca="false">IF(G979="",0,K979-L979)</f>
        <v>0</v>
      </c>
      <c r="N979" s="49" t="str">
        <f aca="false">IFERROR(IF(G979="","",M979/G979),"")</f>
        <v/>
      </c>
      <c r="S979" s="49" t="n">
        <f aca="false">IFERROR(VLOOKUP(H979,Settings!B14:C25,2,FALSE()),0)</f>
        <v>0</v>
      </c>
    </row>
    <row r="980" customFormat="false" ht="15" hidden="false" customHeight="false" outlineLevel="0" collapsed="false">
      <c r="A980" s="37" t="str">
        <f aca="false">IF(B980="","",ROW()-3)</f>
        <v/>
      </c>
      <c r="B980" s="38"/>
      <c r="C980" s="39"/>
      <c r="D980" s="39"/>
      <c r="E980" s="39"/>
      <c r="F980" s="39"/>
      <c r="G980" s="40"/>
      <c r="H980" s="39"/>
      <c r="I980" s="40" t="n">
        <f aca="false">IF(G980="",0,G980*S980)</f>
        <v>0</v>
      </c>
      <c r="J980" s="40"/>
      <c r="K980" s="40" t="n">
        <f aca="false">IF(G980="",0,G980-I980-IF(J980="",0,J980))</f>
        <v>0</v>
      </c>
      <c r="L980" s="40" t="n">
        <f aca="false">IF(O980="",0,IFERROR(INDEX(Purchases!I:I,MATCH(O980*1,Purchases!A:A,0)),0))</f>
        <v>0</v>
      </c>
      <c r="M980" s="40" t="n">
        <f aca="false">IF(G980="",0,K980-L980)</f>
        <v>0</v>
      </c>
      <c r="N980" s="48" t="str">
        <f aca="false">IFERROR(IF(G980="","",M980/G980),"")</f>
        <v/>
      </c>
      <c r="O980" s="39"/>
      <c r="P980" s="39"/>
      <c r="Q980" s="39"/>
      <c r="R980" s="39"/>
      <c r="S980" s="48" t="n">
        <f aca="false">IFERROR(VLOOKUP(H980,Settings!B14:C25,2,FALSE()),0)</f>
        <v>0</v>
      </c>
    </row>
    <row r="981" customFormat="false" ht="15" hidden="false" customHeight="false" outlineLevel="0" collapsed="false">
      <c r="A981" s="41" t="str">
        <f aca="false">IF(B981="","",ROW()-3)</f>
        <v/>
      </c>
      <c r="B981" s="42"/>
      <c r="G981" s="44"/>
      <c r="I981" s="44" t="n">
        <f aca="false">IF(G981="",0,G981*S981)</f>
        <v>0</v>
      </c>
      <c r="J981" s="44"/>
      <c r="K981" s="44" t="n">
        <f aca="false">IF(G981="",0,G981-I981-IF(J981="",0,J981))</f>
        <v>0</v>
      </c>
      <c r="L981" s="44" t="n">
        <f aca="false">IF(O981="",0,IFERROR(INDEX(Purchases!I:I,MATCH(O981*1,Purchases!A:A,0)),0))</f>
        <v>0</v>
      </c>
      <c r="M981" s="44" t="n">
        <f aca="false">IF(G981="",0,K981-L981)</f>
        <v>0</v>
      </c>
      <c r="N981" s="49" t="str">
        <f aca="false">IFERROR(IF(G981="","",M981/G981),"")</f>
        <v/>
      </c>
      <c r="S981" s="49" t="n">
        <f aca="false">IFERROR(VLOOKUP(H981,Settings!B14:C25,2,FALSE()),0)</f>
        <v>0</v>
      </c>
    </row>
    <row r="982" customFormat="false" ht="15" hidden="false" customHeight="false" outlineLevel="0" collapsed="false">
      <c r="A982" s="37" t="str">
        <f aca="false">IF(B982="","",ROW()-3)</f>
        <v/>
      </c>
      <c r="B982" s="38"/>
      <c r="C982" s="39"/>
      <c r="D982" s="39"/>
      <c r="E982" s="39"/>
      <c r="F982" s="39"/>
      <c r="G982" s="40"/>
      <c r="H982" s="39"/>
      <c r="I982" s="40" t="n">
        <f aca="false">IF(G982="",0,G982*S982)</f>
        <v>0</v>
      </c>
      <c r="J982" s="40"/>
      <c r="K982" s="40" t="n">
        <f aca="false">IF(G982="",0,G982-I982-IF(J982="",0,J982))</f>
        <v>0</v>
      </c>
      <c r="L982" s="40" t="n">
        <f aca="false">IF(O982="",0,IFERROR(INDEX(Purchases!I:I,MATCH(O982*1,Purchases!A:A,0)),0))</f>
        <v>0</v>
      </c>
      <c r="M982" s="40" t="n">
        <f aca="false">IF(G982="",0,K982-L982)</f>
        <v>0</v>
      </c>
      <c r="N982" s="48" t="str">
        <f aca="false">IFERROR(IF(G982="","",M982/G982),"")</f>
        <v/>
      </c>
      <c r="O982" s="39"/>
      <c r="P982" s="39"/>
      <c r="Q982" s="39"/>
      <c r="R982" s="39"/>
      <c r="S982" s="48" t="n">
        <f aca="false">IFERROR(VLOOKUP(H982,Settings!B14:C25,2,FALSE()),0)</f>
        <v>0</v>
      </c>
    </row>
    <row r="983" customFormat="false" ht="15" hidden="false" customHeight="false" outlineLevel="0" collapsed="false">
      <c r="A983" s="41" t="str">
        <f aca="false">IF(B983="","",ROW()-3)</f>
        <v/>
      </c>
      <c r="B983" s="42"/>
      <c r="G983" s="44"/>
      <c r="I983" s="44" t="n">
        <f aca="false">IF(G983="",0,G983*S983)</f>
        <v>0</v>
      </c>
      <c r="J983" s="44"/>
      <c r="K983" s="44" t="n">
        <f aca="false">IF(G983="",0,G983-I983-IF(J983="",0,J983))</f>
        <v>0</v>
      </c>
      <c r="L983" s="44" t="n">
        <f aca="false">IF(O983="",0,IFERROR(INDEX(Purchases!I:I,MATCH(O983*1,Purchases!A:A,0)),0))</f>
        <v>0</v>
      </c>
      <c r="M983" s="44" t="n">
        <f aca="false">IF(G983="",0,K983-L983)</f>
        <v>0</v>
      </c>
      <c r="N983" s="49" t="str">
        <f aca="false">IFERROR(IF(G983="","",M983/G983),"")</f>
        <v/>
      </c>
      <c r="S983" s="49" t="n">
        <f aca="false">IFERROR(VLOOKUP(H983,Settings!B14:C25,2,FALSE()),0)</f>
        <v>0</v>
      </c>
    </row>
    <row r="984" customFormat="false" ht="15" hidden="false" customHeight="false" outlineLevel="0" collapsed="false">
      <c r="A984" s="37" t="str">
        <f aca="false">IF(B984="","",ROW()-3)</f>
        <v/>
      </c>
      <c r="B984" s="38"/>
      <c r="C984" s="39"/>
      <c r="D984" s="39"/>
      <c r="E984" s="39"/>
      <c r="F984" s="39"/>
      <c r="G984" s="40"/>
      <c r="H984" s="39"/>
      <c r="I984" s="40" t="n">
        <f aca="false">IF(G984="",0,G984*S984)</f>
        <v>0</v>
      </c>
      <c r="J984" s="40"/>
      <c r="K984" s="40" t="n">
        <f aca="false">IF(G984="",0,G984-I984-IF(J984="",0,J984))</f>
        <v>0</v>
      </c>
      <c r="L984" s="40" t="n">
        <f aca="false">IF(O984="",0,IFERROR(INDEX(Purchases!I:I,MATCH(O984*1,Purchases!A:A,0)),0))</f>
        <v>0</v>
      </c>
      <c r="M984" s="40" t="n">
        <f aca="false">IF(G984="",0,K984-L984)</f>
        <v>0</v>
      </c>
      <c r="N984" s="48" t="str">
        <f aca="false">IFERROR(IF(G984="","",M984/G984),"")</f>
        <v/>
      </c>
      <c r="O984" s="39"/>
      <c r="P984" s="39"/>
      <c r="Q984" s="39"/>
      <c r="R984" s="39"/>
      <c r="S984" s="48" t="n">
        <f aca="false">IFERROR(VLOOKUP(H984,Settings!B14:C25,2,FALSE()),0)</f>
        <v>0</v>
      </c>
    </row>
    <row r="985" customFormat="false" ht="15" hidden="false" customHeight="false" outlineLevel="0" collapsed="false">
      <c r="A985" s="41" t="str">
        <f aca="false">IF(B985="","",ROW()-3)</f>
        <v/>
      </c>
      <c r="B985" s="42"/>
      <c r="G985" s="44"/>
      <c r="I985" s="44" t="n">
        <f aca="false">IF(G985="",0,G985*S985)</f>
        <v>0</v>
      </c>
      <c r="J985" s="44"/>
      <c r="K985" s="44" t="n">
        <f aca="false">IF(G985="",0,G985-I985-IF(J985="",0,J985))</f>
        <v>0</v>
      </c>
      <c r="L985" s="44" t="n">
        <f aca="false">IF(O985="",0,IFERROR(INDEX(Purchases!I:I,MATCH(O985*1,Purchases!A:A,0)),0))</f>
        <v>0</v>
      </c>
      <c r="M985" s="44" t="n">
        <f aca="false">IF(G985="",0,K985-L985)</f>
        <v>0</v>
      </c>
      <c r="N985" s="49" t="str">
        <f aca="false">IFERROR(IF(G985="","",M985/G985),"")</f>
        <v/>
      </c>
      <c r="S985" s="49" t="n">
        <f aca="false">IFERROR(VLOOKUP(H985,Settings!B14:C25,2,FALSE()),0)</f>
        <v>0</v>
      </c>
    </row>
    <row r="986" customFormat="false" ht="15" hidden="false" customHeight="false" outlineLevel="0" collapsed="false">
      <c r="A986" s="37" t="str">
        <f aca="false">IF(B986="","",ROW()-3)</f>
        <v/>
      </c>
      <c r="B986" s="38"/>
      <c r="C986" s="39"/>
      <c r="D986" s="39"/>
      <c r="E986" s="39"/>
      <c r="F986" s="39"/>
      <c r="G986" s="40"/>
      <c r="H986" s="39"/>
      <c r="I986" s="40" t="n">
        <f aca="false">IF(G986="",0,G986*S986)</f>
        <v>0</v>
      </c>
      <c r="J986" s="40"/>
      <c r="K986" s="40" t="n">
        <f aca="false">IF(G986="",0,G986-I986-IF(J986="",0,J986))</f>
        <v>0</v>
      </c>
      <c r="L986" s="40" t="n">
        <f aca="false">IF(O986="",0,IFERROR(INDEX(Purchases!I:I,MATCH(O986*1,Purchases!A:A,0)),0))</f>
        <v>0</v>
      </c>
      <c r="M986" s="40" t="n">
        <f aca="false">IF(G986="",0,K986-L986)</f>
        <v>0</v>
      </c>
      <c r="N986" s="48" t="str">
        <f aca="false">IFERROR(IF(G986="","",M986/G986),"")</f>
        <v/>
      </c>
      <c r="O986" s="39"/>
      <c r="P986" s="39"/>
      <c r="Q986" s="39"/>
      <c r="R986" s="39"/>
      <c r="S986" s="48" t="n">
        <f aca="false">IFERROR(VLOOKUP(H986,Settings!B14:C25,2,FALSE()),0)</f>
        <v>0</v>
      </c>
    </row>
    <row r="987" customFormat="false" ht="15" hidden="false" customHeight="false" outlineLevel="0" collapsed="false">
      <c r="A987" s="41" t="str">
        <f aca="false">IF(B987="","",ROW()-3)</f>
        <v/>
      </c>
      <c r="B987" s="42"/>
      <c r="G987" s="44"/>
      <c r="I987" s="44" t="n">
        <f aca="false">IF(G987="",0,G987*S987)</f>
        <v>0</v>
      </c>
      <c r="J987" s="44"/>
      <c r="K987" s="44" t="n">
        <f aca="false">IF(G987="",0,G987-I987-IF(J987="",0,J987))</f>
        <v>0</v>
      </c>
      <c r="L987" s="44" t="n">
        <f aca="false">IF(O987="",0,IFERROR(INDEX(Purchases!I:I,MATCH(O987*1,Purchases!A:A,0)),0))</f>
        <v>0</v>
      </c>
      <c r="M987" s="44" t="n">
        <f aca="false">IF(G987="",0,K987-L987)</f>
        <v>0</v>
      </c>
      <c r="N987" s="49" t="str">
        <f aca="false">IFERROR(IF(G987="","",M987/G987),"")</f>
        <v/>
      </c>
      <c r="S987" s="49" t="n">
        <f aca="false">IFERROR(VLOOKUP(H987,Settings!B14:C25,2,FALSE()),0)</f>
        <v>0</v>
      </c>
    </row>
    <row r="988" customFormat="false" ht="15" hidden="false" customHeight="false" outlineLevel="0" collapsed="false">
      <c r="A988" s="37" t="str">
        <f aca="false">IF(B988="","",ROW()-3)</f>
        <v/>
      </c>
      <c r="B988" s="38"/>
      <c r="C988" s="39"/>
      <c r="D988" s="39"/>
      <c r="E988" s="39"/>
      <c r="F988" s="39"/>
      <c r="G988" s="40"/>
      <c r="H988" s="39"/>
      <c r="I988" s="40" t="n">
        <f aca="false">IF(G988="",0,G988*S988)</f>
        <v>0</v>
      </c>
      <c r="J988" s="40"/>
      <c r="K988" s="40" t="n">
        <f aca="false">IF(G988="",0,G988-I988-IF(J988="",0,J988))</f>
        <v>0</v>
      </c>
      <c r="L988" s="40" t="n">
        <f aca="false">IF(O988="",0,IFERROR(INDEX(Purchases!I:I,MATCH(O988*1,Purchases!A:A,0)),0))</f>
        <v>0</v>
      </c>
      <c r="M988" s="40" t="n">
        <f aca="false">IF(G988="",0,K988-L988)</f>
        <v>0</v>
      </c>
      <c r="N988" s="48" t="str">
        <f aca="false">IFERROR(IF(G988="","",M988/G988),"")</f>
        <v/>
      </c>
      <c r="O988" s="39"/>
      <c r="P988" s="39"/>
      <c r="Q988" s="39"/>
      <c r="R988" s="39"/>
      <c r="S988" s="48" t="n">
        <f aca="false">IFERROR(VLOOKUP(H988,Settings!B14:C25,2,FALSE()),0)</f>
        <v>0</v>
      </c>
    </row>
    <row r="989" customFormat="false" ht="15" hidden="false" customHeight="false" outlineLevel="0" collapsed="false">
      <c r="A989" s="41" t="str">
        <f aca="false">IF(B989="","",ROW()-3)</f>
        <v/>
      </c>
      <c r="B989" s="42"/>
      <c r="G989" s="44"/>
      <c r="I989" s="44" t="n">
        <f aca="false">IF(G989="",0,G989*S989)</f>
        <v>0</v>
      </c>
      <c r="J989" s="44"/>
      <c r="K989" s="44" t="n">
        <f aca="false">IF(G989="",0,G989-I989-IF(J989="",0,J989))</f>
        <v>0</v>
      </c>
      <c r="L989" s="44" t="n">
        <f aca="false">IF(O989="",0,IFERROR(INDEX(Purchases!I:I,MATCH(O989*1,Purchases!A:A,0)),0))</f>
        <v>0</v>
      </c>
      <c r="M989" s="44" t="n">
        <f aca="false">IF(G989="",0,K989-L989)</f>
        <v>0</v>
      </c>
      <c r="N989" s="49" t="str">
        <f aca="false">IFERROR(IF(G989="","",M989/G989),"")</f>
        <v/>
      </c>
      <c r="S989" s="49" t="n">
        <f aca="false">IFERROR(VLOOKUP(H989,Settings!B14:C25,2,FALSE()),0)</f>
        <v>0</v>
      </c>
    </row>
    <row r="990" customFormat="false" ht="15" hidden="false" customHeight="false" outlineLevel="0" collapsed="false">
      <c r="A990" s="37" t="str">
        <f aca="false">IF(B990="","",ROW()-3)</f>
        <v/>
      </c>
      <c r="B990" s="38"/>
      <c r="C990" s="39"/>
      <c r="D990" s="39"/>
      <c r="E990" s="39"/>
      <c r="F990" s="39"/>
      <c r="G990" s="40"/>
      <c r="H990" s="39"/>
      <c r="I990" s="40" t="n">
        <f aca="false">IF(G990="",0,G990*S990)</f>
        <v>0</v>
      </c>
      <c r="J990" s="40"/>
      <c r="K990" s="40" t="n">
        <f aca="false">IF(G990="",0,G990-I990-IF(J990="",0,J990))</f>
        <v>0</v>
      </c>
      <c r="L990" s="40" t="n">
        <f aca="false">IF(O990="",0,IFERROR(INDEX(Purchases!I:I,MATCH(O990*1,Purchases!A:A,0)),0))</f>
        <v>0</v>
      </c>
      <c r="M990" s="40" t="n">
        <f aca="false">IF(G990="",0,K990-L990)</f>
        <v>0</v>
      </c>
      <c r="N990" s="48" t="str">
        <f aca="false">IFERROR(IF(G990="","",M990/G990),"")</f>
        <v/>
      </c>
      <c r="O990" s="39"/>
      <c r="P990" s="39"/>
      <c r="Q990" s="39"/>
      <c r="R990" s="39"/>
      <c r="S990" s="48" t="n">
        <f aca="false">IFERROR(VLOOKUP(H990,Settings!B14:C25,2,FALSE()),0)</f>
        <v>0</v>
      </c>
    </row>
    <row r="991" customFormat="false" ht="15" hidden="false" customHeight="false" outlineLevel="0" collapsed="false">
      <c r="A991" s="41" t="str">
        <f aca="false">IF(B991="","",ROW()-3)</f>
        <v/>
      </c>
      <c r="B991" s="42"/>
      <c r="G991" s="44"/>
      <c r="I991" s="44" t="n">
        <f aca="false">IF(G991="",0,G991*S991)</f>
        <v>0</v>
      </c>
      <c r="J991" s="44"/>
      <c r="K991" s="44" t="n">
        <f aca="false">IF(G991="",0,G991-I991-IF(J991="",0,J991))</f>
        <v>0</v>
      </c>
      <c r="L991" s="44" t="n">
        <f aca="false">IF(O991="",0,IFERROR(INDEX(Purchases!I:I,MATCH(O991*1,Purchases!A:A,0)),0))</f>
        <v>0</v>
      </c>
      <c r="M991" s="44" t="n">
        <f aca="false">IF(G991="",0,K991-L991)</f>
        <v>0</v>
      </c>
      <c r="N991" s="49" t="str">
        <f aca="false">IFERROR(IF(G991="","",M991/G991),"")</f>
        <v/>
      </c>
      <c r="S991" s="49" t="n">
        <f aca="false">IFERROR(VLOOKUP(H991,Settings!B14:C25,2,FALSE()),0)</f>
        <v>0</v>
      </c>
    </row>
    <row r="992" customFormat="false" ht="15" hidden="false" customHeight="false" outlineLevel="0" collapsed="false">
      <c r="A992" s="37" t="str">
        <f aca="false">IF(B992="","",ROW()-3)</f>
        <v/>
      </c>
      <c r="B992" s="38"/>
      <c r="C992" s="39"/>
      <c r="D992" s="39"/>
      <c r="E992" s="39"/>
      <c r="F992" s="39"/>
      <c r="G992" s="40"/>
      <c r="H992" s="39"/>
      <c r="I992" s="40" t="n">
        <f aca="false">IF(G992="",0,G992*S992)</f>
        <v>0</v>
      </c>
      <c r="J992" s="40"/>
      <c r="K992" s="40" t="n">
        <f aca="false">IF(G992="",0,G992-I992-IF(J992="",0,J992))</f>
        <v>0</v>
      </c>
      <c r="L992" s="40" t="n">
        <f aca="false">IF(O992="",0,IFERROR(INDEX(Purchases!I:I,MATCH(O992*1,Purchases!A:A,0)),0))</f>
        <v>0</v>
      </c>
      <c r="M992" s="40" t="n">
        <f aca="false">IF(G992="",0,K992-L992)</f>
        <v>0</v>
      </c>
      <c r="N992" s="48" t="str">
        <f aca="false">IFERROR(IF(G992="","",M992/G992),"")</f>
        <v/>
      </c>
      <c r="O992" s="39"/>
      <c r="P992" s="39"/>
      <c r="Q992" s="39"/>
      <c r="R992" s="39"/>
      <c r="S992" s="48" t="n">
        <f aca="false">IFERROR(VLOOKUP(H992,Settings!B14:C25,2,FALSE()),0)</f>
        <v>0</v>
      </c>
    </row>
    <row r="993" customFormat="false" ht="15" hidden="false" customHeight="false" outlineLevel="0" collapsed="false">
      <c r="A993" s="41" t="str">
        <f aca="false">IF(B993="","",ROW()-3)</f>
        <v/>
      </c>
      <c r="B993" s="42"/>
      <c r="G993" s="44"/>
      <c r="I993" s="44" t="n">
        <f aca="false">IF(G993="",0,G993*S993)</f>
        <v>0</v>
      </c>
      <c r="J993" s="44"/>
      <c r="K993" s="44" t="n">
        <f aca="false">IF(G993="",0,G993-I993-IF(J993="",0,J993))</f>
        <v>0</v>
      </c>
      <c r="L993" s="44" t="n">
        <f aca="false">IF(O993="",0,IFERROR(INDEX(Purchases!I:I,MATCH(O993*1,Purchases!A:A,0)),0))</f>
        <v>0</v>
      </c>
      <c r="M993" s="44" t="n">
        <f aca="false">IF(G993="",0,K993-L993)</f>
        <v>0</v>
      </c>
      <c r="N993" s="49" t="str">
        <f aca="false">IFERROR(IF(G993="","",M993/G993),"")</f>
        <v/>
      </c>
      <c r="S993" s="49" t="n">
        <f aca="false">IFERROR(VLOOKUP(H993,Settings!B14:C25,2,FALSE()),0)</f>
        <v>0</v>
      </c>
    </row>
    <row r="994" customFormat="false" ht="15" hidden="false" customHeight="false" outlineLevel="0" collapsed="false">
      <c r="A994" s="37" t="str">
        <f aca="false">IF(B994="","",ROW()-3)</f>
        <v/>
      </c>
      <c r="B994" s="38"/>
      <c r="C994" s="39"/>
      <c r="D994" s="39"/>
      <c r="E994" s="39"/>
      <c r="F994" s="39"/>
      <c r="G994" s="40"/>
      <c r="H994" s="39"/>
      <c r="I994" s="40" t="n">
        <f aca="false">IF(G994="",0,G994*S994)</f>
        <v>0</v>
      </c>
      <c r="J994" s="40"/>
      <c r="K994" s="40" t="n">
        <f aca="false">IF(G994="",0,G994-I994-IF(J994="",0,J994))</f>
        <v>0</v>
      </c>
      <c r="L994" s="40" t="n">
        <f aca="false">IF(O994="",0,IFERROR(INDEX(Purchases!I:I,MATCH(O994*1,Purchases!A:A,0)),0))</f>
        <v>0</v>
      </c>
      <c r="M994" s="40" t="n">
        <f aca="false">IF(G994="",0,K994-L994)</f>
        <v>0</v>
      </c>
      <c r="N994" s="48" t="str">
        <f aca="false">IFERROR(IF(G994="","",M994/G994),"")</f>
        <v/>
      </c>
      <c r="O994" s="39"/>
      <c r="P994" s="39"/>
      <c r="Q994" s="39"/>
      <c r="R994" s="39"/>
      <c r="S994" s="48" t="n">
        <f aca="false">IFERROR(VLOOKUP(H994,Settings!B14:C25,2,FALSE()),0)</f>
        <v>0</v>
      </c>
    </row>
    <row r="995" customFormat="false" ht="15" hidden="false" customHeight="false" outlineLevel="0" collapsed="false">
      <c r="A995" s="41" t="str">
        <f aca="false">IF(B995="","",ROW()-3)</f>
        <v/>
      </c>
      <c r="B995" s="42"/>
      <c r="G995" s="44"/>
      <c r="I995" s="44" t="n">
        <f aca="false">IF(G995="",0,G995*S995)</f>
        <v>0</v>
      </c>
      <c r="J995" s="44"/>
      <c r="K995" s="44" t="n">
        <f aca="false">IF(G995="",0,G995-I995-IF(J995="",0,J995))</f>
        <v>0</v>
      </c>
      <c r="L995" s="44" t="n">
        <f aca="false">IF(O995="",0,IFERROR(INDEX(Purchases!I:I,MATCH(O995*1,Purchases!A:A,0)),0))</f>
        <v>0</v>
      </c>
      <c r="M995" s="44" t="n">
        <f aca="false">IF(G995="",0,K995-L995)</f>
        <v>0</v>
      </c>
      <c r="N995" s="49" t="str">
        <f aca="false">IFERROR(IF(G995="","",M995/G995),"")</f>
        <v/>
      </c>
      <c r="S995" s="49" t="n">
        <f aca="false">IFERROR(VLOOKUP(H995,Settings!B14:C25,2,FALSE()),0)</f>
        <v>0</v>
      </c>
    </row>
    <row r="996" customFormat="false" ht="15" hidden="false" customHeight="false" outlineLevel="0" collapsed="false">
      <c r="A996" s="37" t="str">
        <f aca="false">IF(B996="","",ROW()-3)</f>
        <v/>
      </c>
      <c r="B996" s="38"/>
      <c r="C996" s="39"/>
      <c r="D996" s="39"/>
      <c r="E996" s="39"/>
      <c r="F996" s="39"/>
      <c r="G996" s="40"/>
      <c r="H996" s="39"/>
      <c r="I996" s="40" t="n">
        <f aca="false">IF(G996="",0,G996*S996)</f>
        <v>0</v>
      </c>
      <c r="J996" s="40"/>
      <c r="K996" s="40" t="n">
        <f aca="false">IF(G996="",0,G996-I996-IF(J996="",0,J996))</f>
        <v>0</v>
      </c>
      <c r="L996" s="40" t="n">
        <f aca="false">IF(O996="",0,IFERROR(INDEX(Purchases!I:I,MATCH(O996*1,Purchases!A:A,0)),0))</f>
        <v>0</v>
      </c>
      <c r="M996" s="40" t="n">
        <f aca="false">IF(G996="",0,K996-L996)</f>
        <v>0</v>
      </c>
      <c r="N996" s="48" t="str">
        <f aca="false">IFERROR(IF(G996="","",M996/G996),"")</f>
        <v/>
      </c>
      <c r="O996" s="39"/>
      <c r="P996" s="39"/>
      <c r="Q996" s="39"/>
      <c r="R996" s="39"/>
      <c r="S996" s="48" t="n">
        <f aca="false">IFERROR(VLOOKUP(H996,Settings!B14:C25,2,FALSE()),0)</f>
        <v>0</v>
      </c>
    </row>
    <row r="997" customFormat="false" ht="15" hidden="false" customHeight="false" outlineLevel="0" collapsed="false">
      <c r="A997" s="41" t="str">
        <f aca="false">IF(B997="","",ROW()-3)</f>
        <v/>
      </c>
      <c r="B997" s="42"/>
      <c r="G997" s="44"/>
      <c r="I997" s="44" t="n">
        <f aca="false">IF(G997="",0,G997*S997)</f>
        <v>0</v>
      </c>
      <c r="J997" s="44"/>
      <c r="K997" s="44" t="n">
        <f aca="false">IF(G997="",0,G997-I997-IF(J997="",0,J997))</f>
        <v>0</v>
      </c>
      <c r="L997" s="44" t="n">
        <f aca="false">IF(O997="",0,IFERROR(INDEX(Purchases!I:I,MATCH(O997*1,Purchases!A:A,0)),0))</f>
        <v>0</v>
      </c>
      <c r="M997" s="44" t="n">
        <f aca="false">IF(G997="",0,K997-L997)</f>
        <v>0</v>
      </c>
      <c r="N997" s="49" t="str">
        <f aca="false">IFERROR(IF(G997="","",M997/G997),"")</f>
        <v/>
      </c>
      <c r="S997" s="49" t="n">
        <f aca="false">IFERROR(VLOOKUP(H997,Settings!B14:C25,2,FALSE()),0)</f>
        <v>0</v>
      </c>
    </row>
    <row r="998" customFormat="false" ht="15" hidden="false" customHeight="false" outlineLevel="0" collapsed="false">
      <c r="A998" s="37" t="str">
        <f aca="false">IF(B998="","",ROW()-3)</f>
        <v/>
      </c>
      <c r="B998" s="38"/>
      <c r="C998" s="39"/>
      <c r="D998" s="39"/>
      <c r="E998" s="39"/>
      <c r="F998" s="39"/>
      <c r="G998" s="40"/>
      <c r="H998" s="39"/>
      <c r="I998" s="40" t="n">
        <f aca="false">IF(G998="",0,G998*S998)</f>
        <v>0</v>
      </c>
      <c r="J998" s="40"/>
      <c r="K998" s="40" t="n">
        <f aca="false">IF(G998="",0,G998-I998-IF(J998="",0,J998))</f>
        <v>0</v>
      </c>
      <c r="L998" s="40" t="n">
        <f aca="false">IF(O998="",0,IFERROR(INDEX(Purchases!I:I,MATCH(O998*1,Purchases!A:A,0)),0))</f>
        <v>0</v>
      </c>
      <c r="M998" s="40" t="n">
        <f aca="false">IF(G998="",0,K998-L998)</f>
        <v>0</v>
      </c>
      <c r="N998" s="48" t="str">
        <f aca="false">IFERROR(IF(G998="","",M998/G998),"")</f>
        <v/>
      </c>
      <c r="O998" s="39"/>
      <c r="P998" s="39"/>
      <c r="Q998" s="39"/>
      <c r="R998" s="39"/>
      <c r="S998" s="48" t="n">
        <f aca="false">IFERROR(VLOOKUP(H998,Settings!B14:C25,2,FALSE()),0)</f>
        <v>0</v>
      </c>
    </row>
    <row r="999" customFormat="false" ht="15" hidden="false" customHeight="false" outlineLevel="0" collapsed="false">
      <c r="A999" s="41" t="str">
        <f aca="false">IF(B999="","",ROW()-3)</f>
        <v/>
      </c>
      <c r="B999" s="42"/>
      <c r="G999" s="44"/>
      <c r="I999" s="44" t="n">
        <f aca="false">IF(G999="",0,G999*S999)</f>
        <v>0</v>
      </c>
      <c r="J999" s="44"/>
      <c r="K999" s="44" t="n">
        <f aca="false">IF(G999="",0,G999-I999-IF(J999="",0,J999))</f>
        <v>0</v>
      </c>
      <c r="L999" s="44" t="n">
        <f aca="false">IF(O999="",0,IFERROR(INDEX(Purchases!I:I,MATCH(O999*1,Purchases!A:A,0)),0))</f>
        <v>0</v>
      </c>
      <c r="M999" s="44" t="n">
        <f aca="false">IF(G999="",0,K999-L999)</f>
        <v>0</v>
      </c>
      <c r="N999" s="49" t="str">
        <f aca="false">IFERROR(IF(G999="","",M999/G999),"")</f>
        <v/>
      </c>
      <c r="S999" s="49" t="n">
        <f aca="false">IFERROR(VLOOKUP(H999,Settings!B14:C25,2,FALSE()),0)</f>
        <v>0</v>
      </c>
    </row>
    <row r="1000" customFormat="false" ht="15" hidden="false" customHeight="false" outlineLevel="0" collapsed="false">
      <c r="A1000" s="37" t="str">
        <f aca="false">IF(B1000="","",ROW()-3)</f>
        <v/>
      </c>
      <c r="B1000" s="38"/>
      <c r="C1000" s="39"/>
      <c r="D1000" s="39"/>
      <c r="E1000" s="39"/>
      <c r="F1000" s="39"/>
      <c r="G1000" s="40"/>
      <c r="H1000" s="39"/>
      <c r="I1000" s="40" t="n">
        <f aca="false">IF(G1000="",0,G1000*S1000)</f>
        <v>0</v>
      </c>
      <c r="J1000" s="40"/>
      <c r="K1000" s="40" t="n">
        <f aca="false">IF(G1000="",0,G1000-I1000-IF(J1000="",0,J1000))</f>
        <v>0</v>
      </c>
      <c r="L1000" s="40" t="n">
        <f aca="false">IF(O1000="",0,IFERROR(INDEX(Purchases!I:I,MATCH(O1000*1,Purchases!A:A,0)),0))</f>
        <v>0</v>
      </c>
      <c r="M1000" s="40" t="n">
        <f aca="false">IF(G1000="",0,K1000-L1000)</f>
        <v>0</v>
      </c>
      <c r="N1000" s="48" t="str">
        <f aca="false">IFERROR(IF(G1000="","",M1000/G1000),"")</f>
        <v/>
      </c>
      <c r="O1000" s="39"/>
      <c r="P1000" s="39"/>
      <c r="Q1000" s="39"/>
      <c r="R1000" s="39"/>
      <c r="S1000" s="48" t="n">
        <f aca="false">IFERROR(VLOOKUP(H1000,Settings!B14:C25,2,FALSE()),0)</f>
        <v>0</v>
      </c>
    </row>
  </sheetData>
  <autoFilter ref="A3:S3"/>
  <mergeCells count="1">
    <mergeCell ref="A1:F1"/>
  </mergeCells>
  <conditionalFormatting sqref="M4:M1000">
    <cfRule type="cellIs" priority="2" operator="greaterThan" aboveAverage="0" equalAverage="0" bottom="0" percent="0" rank="0" text="" dxfId="3">
      <formula>0</formula>
    </cfRule>
    <cfRule type="cellIs" priority="3" operator="lessThan" aboveAverage="0" equalAverage="0" bottom="0" percent="0" rank="0" text="" dxfId="4">
      <formula>0</formula>
    </cfRule>
  </conditionalFormatting>
  <conditionalFormatting sqref="N4:N1000">
    <cfRule type="cellIs" priority="4" operator="greaterThan" aboveAverage="0" equalAverage="0" bottom="0" percent="0" rank="0" text="" dxfId="3">
      <formula>0.5</formula>
    </cfRule>
    <cfRule type="cellIs" priority="5" operator="lessThan" aboveAverage="0" equalAverage="0" bottom="0" percent="0" rank="0" text="" dxfId="4">
      <formula>0</formula>
    </cfRule>
  </conditionalFormatting>
  <dataValidations count="2">
    <dataValidation allowBlank="true" errorStyle="stop" operator="between" showDropDown="false" showErrorMessage="false" showInputMessage="false" sqref="C4:C1000" type="list">
      <formula1>"Sealed Product,Single Card,Graded Card,Bundle/Lot,Accessory,Digital Product,Other"</formula1>
      <formula2>0</formula2>
    </dataValidation>
    <dataValidation allowBlank="true" errorStyle="stop" operator="between" showDropDown="false" showErrorMessage="false" showInputMessage="false" sqref="H4:H1000" type="list">
      <formula1>Settings!B14:B25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980B9"/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8" min="7" style="0" width="22"/>
    <col collapsed="false" customWidth="true" hidden="false" outlineLevel="0" max="9" min="9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22.05" hidden="false" customHeight="true" outlineLevel="0" collapsed="false">
      <c r="A2" s="1"/>
      <c r="B2" s="2" t="s">
        <v>111</v>
      </c>
      <c r="C2" s="2"/>
      <c r="D2" s="2"/>
      <c r="E2" s="2"/>
      <c r="F2" s="2"/>
      <c r="G2" s="2"/>
      <c r="H2" s="2"/>
      <c r="I2" s="1"/>
    </row>
    <row r="3" customFormat="false" ht="15" hidden="false" customHeight="true" outlineLevel="0" collapsed="false">
      <c r="A3" s="1"/>
      <c r="B3" s="32" t="s">
        <v>112</v>
      </c>
      <c r="C3" s="32"/>
      <c r="D3" s="32"/>
      <c r="E3" s="32"/>
      <c r="F3" s="32"/>
      <c r="G3" s="32"/>
      <c r="H3" s="32"/>
      <c r="I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true" outlineLevel="0" collapsed="false">
      <c r="A5" s="1"/>
      <c r="B5" s="11" t="s">
        <v>113</v>
      </c>
      <c r="C5" s="11"/>
      <c r="D5" s="11"/>
      <c r="E5" s="1"/>
      <c r="F5" s="11" t="s">
        <v>114</v>
      </c>
      <c r="G5" s="11"/>
      <c r="H5" s="11"/>
      <c r="I5" s="1"/>
    </row>
    <row r="6" customFormat="false" ht="15" hidden="false" customHeight="false" outlineLevel="0" collapsed="false">
      <c r="A6" s="1"/>
      <c r="B6" s="12" t="s">
        <v>115</v>
      </c>
      <c r="C6" s="50"/>
      <c r="D6" s="1"/>
      <c r="E6" s="1"/>
      <c r="F6" s="51" t="s">
        <v>116</v>
      </c>
      <c r="G6" s="1"/>
      <c r="H6" s="1"/>
      <c r="I6" s="1"/>
    </row>
    <row r="7" customFormat="false" ht="23.85" hidden="false" customHeight="false" outlineLevel="0" collapsed="false">
      <c r="A7" s="1"/>
      <c r="B7" s="12" t="s">
        <v>117</v>
      </c>
      <c r="C7" s="50" t="s">
        <v>118</v>
      </c>
      <c r="D7" s="1"/>
      <c r="E7" s="1"/>
      <c r="F7" s="52" t="s">
        <v>119</v>
      </c>
      <c r="G7" s="1"/>
      <c r="H7" s="1"/>
      <c r="I7" s="1"/>
    </row>
    <row r="8" customFormat="false" ht="23.85" hidden="false" customHeight="false" outlineLevel="0" collapsed="false">
      <c r="A8" s="1"/>
      <c r="B8" s="12" t="s">
        <v>120</v>
      </c>
      <c r="C8" s="50" t="s">
        <v>121</v>
      </c>
      <c r="D8" s="1"/>
      <c r="E8" s="1"/>
      <c r="F8" s="52" t="s">
        <v>122</v>
      </c>
      <c r="G8" s="1"/>
      <c r="H8" s="1"/>
      <c r="I8" s="1"/>
    </row>
    <row r="9" customFormat="false" ht="23.85" hidden="false" customHeight="false" outlineLevel="0" collapsed="false">
      <c r="A9" s="1"/>
      <c r="B9" s="12" t="s">
        <v>123</v>
      </c>
      <c r="C9" s="53" t="s">
        <v>124</v>
      </c>
      <c r="D9" s="1"/>
      <c r="E9" s="1"/>
      <c r="F9" s="52" t="s">
        <v>125</v>
      </c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52" t="s">
        <v>126</v>
      </c>
      <c r="G10" s="1"/>
      <c r="H10" s="1"/>
      <c r="I10" s="1"/>
    </row>
    <row r="11" customFormat="false" ht="23.85" hidden="false" customHeight="false" outlineLevel="0" collapsed="false">
      <c r="A11" s="1"/>
      <c r="B11" s="1"/>
      <c r="C11" s="1"/>
      <c r="D11" s="1"/>
      <c r="E11" s="1"/>
      <c r="F11" s="52" t="s">
        <v>127</v>
      </c>
      <c r="G11" s="1"/>
      <c r="H11" s="1"/>
      <c r="I11" s="1"/>
    </row>
    <row r="12" customFormat="false" ht="23.85" hidden="false" customHeight="true" outlineLevel="0" collapsed="false">
      <c r="A12" s="1"/>
      <c r="B12" s="11" t="s">
        <v>128</v>
      </c>
      <c r="C12" s="11"/>
      <c r="D12" s="11"/>
      <c r="E12" s="1"/>
      <c r="F12" s="52" t="s">
        <v>129</v>
      </c>
      <c r="G12" s="1"/>
      <c r="H12" s="1"/>
      <c r="I12" s="1"/>
    </row>
    <row r="13" customFormat="false" ht="15" hidden="false" customHeight="false" outlineLevel="0" collapsed="false">
      <c r="A13" s="1"/>
      <c r="B13" s="24" t="s">
        <v>95</v>
      </c>
      <c r="C13" s="24" t="s">
        <v>130</v>
      </c>
      <c r="D13" s="24" t="s">
        <v>62</v>
      </c>
      <c r="E13" s="1"/>
      <c r="F13" s="52"/>
      <c r="G13" s="1"/>
      <c r="H13" s="1"/>
      <c r="I13" s="1"/>
    </row>
    <row r="14" customFormat="false" ht="22.35" hidden="false" customHeight="false" outlineLevel="0" collapsed="false">
      <c r="A14" s="1"/>
      <c r="B14" s="54" t="s">
        <v>32</v>
      </c>
      <c r="C14" s="55" t="n">
        <v>0.1325</v>
      </c>
      <c r="D14" s="56" t="s">
        <v>131</v>
      </c>
      <c r="E14" s="1"/>
      <c r="F14" s="51" t="s">
        <v>132</v>
      </c>
      <c r="G14" s="1"/>
      <c r="H14" s="1"/>
      <c r="I14" s="1"/>
    </row>
    <row r="15" customFormat="false" ht="23.85" hidden="false" customHeight="false" outlineLevel="0" collapsed="false">
      <c r="A15" s="1"/>
      <c r="B15" s="57" t="s">
        <v>39</v>
      </c>
      <c r="C15" s="55" t="n">
        <v>0.1325</v>
      </c>
      <c r="D15" s="58" t="s">
        <v>131</v>
      </c>
      <c r="E15" s="1"/>
      <c r="F15" s="52" t="s">
        <v>133</v>
      </c>
      <c r="G15" s="1"/>
      <c r="H15" s="1"/>
      <c r="I15" s="1"/>
    </row>
    <row r="16" customFormat="false" ht="23.85" hidden="false" customHeight="false" outlineLevel="0" collapsed="false">
      <c r="A16" s="1"/>
      <c r="B16" s="54" t="s">
        <v>40</v>
      </c>
      <c r="C16" s="55" t="n">
        <v>0.109</v>
      </c>
      <c r="D16" s="56" t="s">
        <v>134</v>
      </c>
      <c r="E16" s="1"/>
      <c r="F16" s="52" t="s">
        <v>135</v>
      </c>
      <c r="G16" s="1"/>
      <c r="H16" s="1"/>
      <c r="I16" s="1"/>
    </row>
    <row r="17" customFormat="false" ht="23.85" hidden="false" customHeight="false" outlineLevel="0" collapsed="false">
      <c r="A17" s="1"/>
      <c r="B17" s="57" t="s">
        <v>41</v>
      </c>
      <c r="C17" s="55" t="n">
        <v>0</v>
      </c>
      <c r="D17" s="58" t="s">
        <v>136</v>
      </c>
      <c r="E17" s="1"/>
      <c r="F17" s="52" t="s">
        <v>137</v>
      </c>
      <c r="G17" s="1"/>
      <c r="H17" s="1"/>
      <c r="I17" s="1"/>
    </row>
    <row r="18" customFormat="false" ht="15" hidden="false" customHeight="false" outlineLevel="0" collapsed="false">
      <c r="A18" s="1"/>
      <c r="B18" s="54" t="s">
        <v>42</v>
      </c>
      <c r="C18" s="55" t="n">
        <v>0.1089</v>
      </c>
      <c r="D18" s="56" t="s">
        <v>138</v>
      </c>
      <c r="E18" s="1"/>
      <c r="F18" s="52" t="s">
        <v>139</v>
      </c>
      <c r="G18" s="1"/>
      <c r="H18" s="1"/>
      <c r="I18" s="1"/>
    </row>
    <row r="19" customFormat="false" ht="23.85" hidden="false" customHeight="false" outlineLevel="0" collapsed="false">
      <c r="A19" s="1"/>
      <c r="B19" s="57" t="s">
        <v>43</v>
      </c>
      <c r="C19" s="55" t="n">
        <v>0</v>
      </c>
      <c r="D19" s="58" t="s">
        <v>140</v>
      </c>
      <c r="E19" s="1"/>
      <c r="F19" s="52" t="s">
        <v>141</v>
      </c>
      <c r="G19" s="1"/>
      <c r="H19" s="1"/>
      <c r="I19" s="1"/>
    </row>
    <row r="20" customFormat="false" ht="15" hidden="false" customHeight="false" outlineLevel="0" collapsed="false">
      <c r="A20" s="1"/>
      <c r="B20" s="54" t="s">
        <v>44</v>
      </c>
      <c r="C20" s="55" t="n">
        <v>0.1</v>
      </c>
      <c r="D20" s="56" t="s">
        <v>142</v>
      </c>
      <c r="E20" s="1"/>
      <c r="F20" s="52"/>
      <c r="G20" s="1"/>
      <c r="H20" s="1"/>
      <c r="I20" s="1"/>
    </row>
    <row r="21" customFormat="false" ht="22.35" hidden="false" customHeight="false" outlineLevel="0" collapsed="false">
      <c r="A21" s="1"/>
      <c r="B21" s="57" t="s">
        <v>45</v>
      </c>
      <c r="C21" s="55" t="n">
        <v>0.05</v>
      </c>
      <c r="D21" s="58" t="s">
        <v>143</v>
      </c>
      <c r="E21" s="1"/>
      <c r="F21" s="51" t="s">
        <v>144</v>
      </c>
      <c r="G21" s="1"/>
      <c r="H21" s="1"/>
      <c r="I21" s="1"/>
    </row>
    <row r="22" customFormat="false" ht="15" hidden="false" customHeight="false" outlineLevel="0" collapsed="false">
      <c r="A22" s="1"/>
      <c r="B22" s="54" t="s">
        <v>46</v>
      </c>
      <c r="C22" s="55" t="n">
        <v>0</v>
      </c>
      <c r="D22" s="56" t="s">
        <v>145</v>
      </c>
      <c r="E22" s="1"/>
      <c r="F22" s="52" t="s">
        <v>146</v>
      </c>
      <c r="G22" s="1"/>
      <c r="H22" s="1"/>
      <c r="I22" s="1"/>
    </row>
    <row r="23" customFormat="false" ht="23.85" hidden="false" customHeight="false" outlineLevel="0" collapsed="false">
      <c r="A23" s="1"/>
      <c r="B23" s="57" t="s">
        <v>147</v>
      </c>
      <c r="C23" s="55" t="n">
        <v>0.029</v>
      </c>
      <c r="D23" s="58" t="s">
        <v>148</v>
      </c>
      <c r="E23" s="1"/>
      <c r="F23" s="52" t="s">
        <v>149</v>
      </c>
      <c r="G23" s="1"/>
      <c r="H23" s="1"/>
      <c r="I23" s="1"/>
    </row>
    <row r="24" customFormat="false" ht="23.85" hidden="false" customHeight="false" outlineLevel="0" collapsed="false">
      <c r="A24" s="1"/>
      <c r="B24" s="54" t="s">
        <v>150</v>
      </c>
      <c r="C24" s="55" t="n">
        <v>0.05</v>
      </c>
      <c r="D24" s="56" t="s">
        <v>151</v>
      </c>
      <c r="E24" s="1"/>
      <c r="F24" s="52" t="s">
        <v>152</v>
      </c>
      <c r="G24" s="1"/>
      <c r="H24" s="1"/>
      <c r="I24" s="1"/>
    </row>
    <row r="25" customFormat="false" ht="15" hidden="false" customHeight="false" outlineLevel="0" collapsed="false">
      <c r="A25" s="1"/>
      <c r="B25" s="57" t="s">
        <v>47</v>
      </c>
      <c r="C25" s="55" t="n">
        <v>0</v>
      </c>
      <c r="D25" s="58" t="s">
        <v>153</v>
      </c>
      <c r="E25" s="1"/>
      <c r="F25" s="52" t="s">
        <v>154</v>
      </c>
      <c r="G25" s="1"/>
      <c r="H25" s="1"/>
      <c r="I25" s="1"/>
    </row>
    <row r="26" customFormat="false" ht="23.85" hidden="false" customHeight="false" outlineLevel="0" collapsed="false">
      <c r="A26" s="1"/>
      <c r="B26" s="1"/>
      <c r="C26" s="1"/>
      <c r="D26" s="1"/>
      <c r="E26" s="1"/>
      <c r="F26" s="52" t="s">
        <v>155</v>
      </c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true" outlineLevel="0" collapsed="false">
      <c r="A28" s="1"/>
      <c r="B28" s="11" t="s">
        <v>156</v>
      </c>
      <c r="C28" s="11"/>
      <c r="D28" s="1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24" t="s">
        <v>157</v>
      </c>
      <c r="C29" s="24" t="s">
        <v>158</v>
      </c>
      <c r="D29" s="24" t="s">
        <v>159</v>
      </c>
      <c r="E29" s="1"/>
      <c r="F29" s="1"/>
      <c r="G29" s="1"/>
      <c r="H29" s="1"/>
      <c r="I29" s="1"/>
    </row>
    <row r="30" customFormat="false" ht="32.8" hidden="false" customHeight="false" outlineLevel="0" collapsed="false">
      <c r="A30" s="1"/>
      <c r="B30" s="54" t="s">
        <v>160</v>
      </c>
      <c r="C30" s="59"/>
      <c r="D30" s="56" t="s">
        <v>161</v>
      </c>
      <c r="E30" s="1"/>
      <c r="F30" s="1"/>
      <c r="G30" s="1"/>
      <c r="H30" s="1"/>
      <c r="I30" s="1"/>
    </row>
    <row r="31" customFormat="false" ht="32.8" hidden="false" customHeight="false" outlineLevel="0" collapsed="false">
      <c r="A31" s="1"/>
      <c r="B31" s="57" t="s">
        <v>162</v>
      </c>
      <c r="C31" s="59"/>
      <c r="D31" s="58" t="s">
        <v>163</v>
      </c>
      <c r="E31" s="1"/>
      <c r="F31" s="1"/>
      <c r="G31" s="1"/>
      <c r="H31" s="1"/>
      <c r="I31" s="1"/>
    </row>
    <row r="32" customFormat="false" ht="22.35" hidden="false" customHeight="false" outlineLevel="0" collapsed="false">
      <c r="A32" s="1"/>
      <c r="B32" s="54" t="s">
        <v>164</v>
      </c>
      <c r="C32" s="59"/>
      <c r="D32" s="56" t="s">
        <v>165</v>
      </c>
      <c r="E32" s="1"/>
      <c r="F32" s="1"/>
      <c r="G32" s="1"/>
      <c r="H32" s="1"/>
      <c r="I32" s="1"/>
    </row>
    <row r="33" customFormat="false" ht="32.8" hidden="false" customHeight="false" outlineLevel="0" collapsed="false">
      <c r="A33" s="1"/>
      <c r="B33" s="57" t="s">
        <v>166</v>
      </c>
      <c r="C33" s="59"/>
      <c r="D33" s="58" t="s">
        <v>167</v>
      </c>
      <c r="E33" s="1"/>
      <c r="F33" s="1"/>
      <c r="G33" s="1"/>
      <c r="H33" s="1"/>
      <c r="I33" s="1"/>
    </row>
    <row r="34" customFormat="false" ht="22.35" hidden="false" customHeight="false" outlineLevel="0" collapsed="false">
      <c r="A34" s="1"/>
      <c r="B34" s="54" t="s">
        <v>168</v>
      </c>
      <c r="C34" s="59"/>
      <c r="D34" s="56" t="s">
        <v>169</v>
      </c>
      <c r="E34" s="1"/>
      <c r="F34" s="1"/>
      <c r="G34" s="1"/>
      <c r="H34" s="1"/>
      <c r="I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5" hidden="false" customHeight="false" outlineLevel="0" collapsed="false">
      <c r="A36" s="1"/>
      <c r="B36" s="60" t="s">
        <v>170</v>
      </c>
      <c r="C36" s="50" t="s">
        <v>160</v>
      </c>
      <c r="D36" s="1"/>
      <c r="E36" s="1"/>
      <c r="F36" s="1"/>
      <c r="G36" s="1"/>
      <c r="H36" s="1"/>
      <c r="I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5" hidden="false" customHeight="true" outlineLevel="0" collapsed="false">
      <c r="A40" s="1"/>
      <c r="B40" s="11" t="s">
        <v>171</v>
      </c>
      <c r="C40" s="11"/>
      <c r="D40" s="11"/>
      <c r="E40" s="1"/>
      <c r="F40" s="1"/>
      <c r="G40" s="1"/>
      <c r="H40" s="1"/>
      <c r="I40" s="1"/>
    </row>
    <row r="41" customFormat="false" ht="15" hidden="false" customHeight="false" outlineLevel="0" collapsed="false">
      <c r="A41" s="1"/>
      <c r="B41" s="61" t="s">
        <v>172</v>
      </c>
      <c r="C41" s="62" t="s">
        <v>124</v>
      </c>
      <c r="D41" s="1"/>
      <c r="E41" s="1"/>
      <c r="F41" s="1"/>
      <c r="G41" s="1"/>
      <c r="H41" s="1"/>
      <c r="I41" s="1"/>
    </row>
    <row r="42" customFormat="false" ht="15" hidden="false" customHeight="false" outlineLevel="0" collapsed="false">
      <c r="A42" s="1"/>
      <c r="B42" s="61" t="s">
        <v>173</v>
      </c>
      <c r="C42" s="63" t="s">
        <v>174</v>
      </c>
      <c r="D42" s="1"/>
      <c r="E42" s="1"/>
      <c r="F42" s="1"/>
      <c r="G42" s="1"/>
      <c r="H42" s="1"/>
      <c r="I42" s="1"/>
    </row>
    <row r="43" customFormat="false" ht="15" hidden="false" customHeight="false" outlineLevel="0" collapsed="false">
      <c r="A43" s="1"/>
      <c r="B43" s="61" t="s">
        <v>175</v>
      </c>
      <c r="C43" s="63" t="s">
        <v>176</v>
      </c>
      <c r="D43" s="1"/>
      <c r="E43" s="1"/>
      <c r="F43" s="1"/>
      <c r="G43" s="1"/>
      <c r="H43" s="1"/>
      <c r="I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23.85" hidden="false" customHeight="true" outlineLevel="0" collapsed="false">
      <c r="A45" s="1"/>
      <c r="B45" s="64" t="s">
        <v>177</v>
      </c>
      <c r="C45" s="64"/>
      <c r="D45" s="64"/>
      <c r="E45" s="1"/>
      <c r="F45" s="1"/>
      <c r="G45" s="1"/>
      <c r="H45" s="1"/>
      <c r="I45" s="1"/>
    </row>
    <row r="46" customFormat="false" ht="15" hidden="false" customHeight="true" outlineLevel="0" collapsed="false">
      <c r="A46" s="1"/>
      <c r="B46" s="64" t="s">
        <v>178</v>
      </c>
      <c r="C46" s="64"/>
      <c r="D46" s="64"/>
      <c r="E46" s="1"/>
      <c r="F46" s="1"/>
      <c r="G46" s="1"/>
      <c r="H46" s="1"/>
      <c r="I46" s="1"/>
    </row>
    <row r="47" customFormat="false" ht="15" hidden="false" customHeight="true" outlineLevel="0" collapsed="false">
      <c r="A47" s="1"/>
      <c r="B47" s="64" t="s">
        <v>179</v>
      </c>
      <c r="C47" s="64"/>
      <c r="D47" s="64"/>
      <c r="E47" s="1"/>
      <c r="F47" s="1"/>
      <c r="G47" s="1"/>
      <c r="H47" s="1"/>
      <c r="I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</row>
  </sheetData>
  <mergeCells count="10">
    <mergeCell ref="B2:H2"/>
    <mergeCell ref="B3:H3"/>
    <mergeCell ref="B5:D5"/>
    <mergeCell ref="F5:H5"/>
    <mergeCell ref="B12:D12"/>
    <mergeCell ref="B28:D28"/>
    <mergeCell ref="B40:D40"/>
    <mergeCell ref="B45:D45"/>
    <mergeCell ref="B46:D46"/>
    <mergeCell ref="B47:D47"/>
  </mergeCells>
  <dataValidations count="3">
    <dataValidation allowBlank="false" errorStyle="stop" operator="between" showDropDown="false" showErrorMessage="false" showInputMessage="false" sqref="C7" type="list">
      <formula1>"AUD,USD,EUR,GBP,JPY,CAD,NZD,SGD,PHP,THB,HKD,KRW,TWD,MYR,CHF"</formula1>
      <formula2>0</formula2>
    </dataValidation>
    <dataValidation allowBlank="false" errorStyle="stop" operator="between" showDropDown="false" showErrorMessage="false" showInputMessage="false" sqref="C8" type="list">
      <formula1>"Australia,United States,United Kingdom,Canada,Japan,New Zealand,Singapore,Philippines,Thailand,Germany,France,Netherlands,South Korea,Malaysia,Switzerland"</formula1>
      <formula2>0</formula2>
    </dataValidation>
    <dataValidation allowBlank="false" errorStyle="stop" operator="between" showDropDown="false" showErrorMessage="false" showInputMessage="false" sqref="C36" type="list">
      <formula1>"PokemonTCG.io,TCGdex,PokemonPriceTracker,PriceCharting,Custom API"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C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0"/>
    <col collapsed="false" customWidth="true" hidden="false" outlineLevel="0" max="3" min="3" style="0" width="3"/>
  </cols>
  <sheetData>
    <row r="1" customFormat="false" ht="15" hidden="false" customHeight="false" outlineLevel="0" collapsed="false">
      <c r="A1" s="1"/>
      <c r="B1" s="1"/>
      <c r="C1" s="1"/>
    </row>
    <row r="2" customFormat="false" ht="22.05" hidden="false" customHeight="false" outlineLevel="0" collapsed="false">
      <c r="A2" s="1"/>
      <c r="B2" s="65" t="s">
        <v>180</v>
      </c>
      <c r="C2" s="1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false" outlineLevel="0" collapsed="false">
      <c r="A4" s="1"/>
      <c r="B4" s="12"/>
      <c r="C4" s="1"/>
    </row>
    <row r="5" customFormat="false" ht="15" hidden="false" customHeight="false" outlineLevel="0" collapsed="false">
      <c r="A5" s="1"/>
      <c r="B5" s="66" t="s">
        <v>181</v>
      </c>
      <c r="C5" s="1"/>
    </row>
    <row r="6" customFormat="false" ht="15" hidden="false" customHeight="false" outlineLevel="0" collapsed="false">
      <c r="A6" s="1"/>
      <c r="B6" s="12" t="s">
        <v>182</v>
      </c>
      <c r="C6" s="1"/>
    </row>
    <row r="7" customFormat="false" ht="15" hidden="false" customHeight="false" outlineLevel="0" collapsed="false">
      <c r="A7" s="1"/>
      <c r="B7" s="12" t="s">
        <v>183</v>
      </c>
      <c r="C7" s="1"/>
    </row>
    <row r="8" customFormat="false" ht="15" hidden="false" customHeight="false" outlineLevel="0" collapsed="false">
      <c r="A8" s="1"/>
      <c r="B8" s="12"/>
      <c r="C8" s="1"/>
    </row>
    <row r="9" customFormat="false" ht="15" hidden="false" customHeight="false" outlineLevel="0" collapsed="false">
      <c r="A9" s="1"/>
      <c r="B9" s="66" t="s">
        <v>184</v>
      </c>
      <c r="C9" s="1"/>
    </row>
    <row r="10" customFormat="false" ht="15" hidden="false" customHeight="false" outlineLevel="0" collapsed="false">
      <c r="A10" s="1"/>
      <c r="B10" s="12" t="s">
        <v>185</v>
      </c>
      <c r="C10" s="1"/>
    </row>
    <row r="11" customFormat="false" ht="15" hidden="false" customHeight="false" outlineLevel="0" collapsed="false">
      <c r="A11" s="1"/>
      <c r="B11" s="12" t="s">
        <v>186</v>
      </c>
      <c r="C11" s="1"/>
    </row>
    <row r="12" customFormat="false" ht="15" hidden="false" customHeight="false" outlineLevel="0" collapsed="false">
      <c r="A12" s="1"/>
      <c r="B12" s="12" t="s">
        <v>187</v>
      </c>
      <c r="C12" s="1"/>
    </row>
    <row r="13" customFormat="false" ht="15" hidden="false" customHeight="false" outlineLevel="0" collapsed="false">
      <c r="A13" s="1"/>
      <c r="B13" s="12" t="s">
        <v>188</v>
      </c>
      <c r="C13" s="1"/>
    </row>
    <row r="14" customFormat="false" ht="15" hidden="false" customHeight="false" outlineLevel="0" collapsed="false">
      <c r="A14" s="1"/>
      <c r="B14" s="12" t="s">
        <v>189</v>
      </c>
      <c r="C14" s="1"/>
    </row>
    <row r="15" customFormat="false" ht="15" hidden="false" customHeight="false" outlineLevel="0" collapsed="false">
      <c r="A15" s="1"/>
      <c r="B15" s="12"/>
      <c r="C15" s="1"/>
    </row>
    <row r="16" customFormat="false" ht="15" hidden="false" customHeight="false" outlineLevel="0" collapsed="false">
      <c r="A16" s="1"/>
      <c r="B16" s="66" t="s">
        <v>190</v>
      </c>
      <c r="C16" s="1"/>
    </row>
    <row r="17" customFormat="false" ht="15" hidden="false" customHeight="false" outlineLevel="0" collapsed="false">
      <c r="A17" s="1"/>
      <c r="B17" s="12" t="s">
        <v>191</v>
      </c>
      <c r="C17" s="1"/>
    </row>
    <row r="18" customFormat="false" ht="15" hidden="false" customHeight="false" outlineLevel="0" collapsed="false">
      <c r="A18" s="1"/>
      <c r="B18" s="12" t="s">
        <v>192</v>
      </c>
      <c r="C18" s="1"/>
    </row>
    <row r="19" customFormat="false" ht="15" hidden="false" customHeight="false" outlineLevel="0" collapsed="false">
      <c r="A19" s="1"/>
      <c r="B19" s="12" t="s">
        <v>193</v>
      </c>
      <c r="C19" s="1"/>
    </row>
    <row r="20" customFormat="false" ht="15" hidden="false" customHeight="false" outlineLevel="0" collapsed="false">
      <c r="A20" s="1"/>
      <c r="B20" s="12" t="s">
        <v>194</v>
      </c>
      <c r="C20" s="1"/>
    </row>
    <row r="21" customFormat="false" ht="15" hidden="false" customHeight="false" outlineLevel="0" collapsed="false">
      <c r="A21" s="1"/>
      <c r="B21" s="12" t="s">
        <v>195</v>
      </c>
      <c r="C21" s="1"/>
    </row>
    <row r="22" customFormat="false" ht="15" hidden="false" customHeight="false" outlineLevel="0" collapsed="false">
      <c r="A22" s="1"/>
      <c r="B22" s="12"/>
      <c r="C22" s="1"/>
    </row>
    <row r="23" customFormat="false" ht="15" hidden="false" customHeight="false" outlineLevel="0" collapsed="false">
      <c r="A23" s="1"/>
      <c r="B23" s="66" t="s">
        <v>196</v>
      </c>
      <c r="C23" s="1"/>
    </row>
    <row r="24" customFormat="false" ht="15" hidden="false" customHeight="false" outlineLevel="0" collapsed="false">
      <c r="A24" s="1"/>
      <c r="B24" s="12" t="s">
        <v>197</v>
      </c>
      <c r="C24" s="1"/>
    </row>
    <row r="25" customFormat="false" ht="15" hidden="false" customHeight="false" outlineLevel="0" collapsed="false">
      <c r="A25" s="1"/>
      <c r="B25" s="12" t="s">
        <v>198</v>
      </c>
      <c r="C25" s="1"/>
    </row>
    <row r="26" customFormat="false" ht="15" hidden="false" customHeight="false" outlineLevel="0" collapsed="false">
      <c r="A26" s="1"/>
      <c r="B26" s="12" t="s">
        <v>199</v>
      </c>
      <c r="C26" s="1"/>
    </row>
    <row r="27" customFormat="false" ht="15" hidden="false" customHeight="false" outlineLevel="0" collapsed="false">
      <c r="A27" s="1"/>
      <c r="B27" s="12" t="s">
        <v>200</v>
      </c>
      <c r="C27" s="1"/>
    </row>
    <row r="28" customFormat="false" ht="15" hidden="false" customHeight="false" outlineLevel="0" collapsed="false">
      <c r="A28" s="1"/>
      <c r="B28" s="12"/>
      <c r="C28" s="1"/>
    </row>
    <row r="29" customFormat="false" ht="15" hidden="false" customHeight="false" outlineLevel="0" collapsed="false">
      <c r="A29" s="1"/>
      <c r="B29" s="66" t="s">
        <v>201</v>
      </c>
      <c r="C29" s="1"/>
    </row>
    <row r="30" customFormat="false" ht="15" hidden="false" customHeight="false" outlineLevel="0" collapsed="false">
      <c r="A30" s="1"/>
      <c r="B30" s="12" t="s">
        <v>202</v>
      </c>
      <c r="C30" s="1"/>
    </row>
    <row r="31" customFormat="false" ht="15" hidden="false" customHeight="false" outlineLevel="0" collapsed="false">
      <c r="A31" s="1"/>
      <c r="B31" s="12" t="s">
        <v>203</v>
      </c>
      <c r="C31" s="1"/>
    </row>
    <row r="32" customFormat="false" ht="15" hidden="false" customHeight="false" outlineLevel="0" collapsed="false">
      <c r="A32" s="1"/>
      <c r="B32" s="12" t="s">
        <v>204</v>
      </c>
      <c r="C32" s="1"/>
    </row>
    <row r="33" customFormat="false" ht="15" hidden="false" customHeight="false" outlineLevel="0" collapsed="false">
      <c r="A33" s="1"/>
      <c r="B33" s="12" t="s">
        <v>205</v>
      </c>
      <c r="C33" s="1"/>
    </row>
    <row r="34" customFormat="false" ht="15" hidden="false" customHeight="false" outlineLevel="0" collapsed="false">
      <c r="A34" s="1"/>
      <c r="B34" s="12" t="s">
        <v>206</v>
      </c>
      <c r="C34" s="1"/>
    </row>
    <row r="35" customFormat="false" ht="15" hidden="false" customHeight="false" outlineLevel="0" collapsed="false">
      <c r="A35" s="1"/>
      <c r="B35" s="12"/>
      <c r="C35" s="1"/>
    </row>
    <row r="36" customFormat="false" ht="15" hidden="false" customHeight="false" outlineLevel="0" collapsed="false">
      <c r="A36" s="1"/>
      <c r="B36" s="66" t="s">
        <v>207</v>
      </c>
      <c r="C36" s="1"/>
    </row>
    <row r="37" customFormat="false" ht="15" hidden="false" customHeight="false" outlineLevel="0" collapsed="false">
      <c r="A37" s="1"/>
      <c r="B37" s="12" t="s">
        <v>208</v>
      </c>
      <c r="C37" s="1"/>
    </row>
    <row r="38" customFormat="false" ht="15" hidden="false" customHeight="false" outlineLevel="0" collapsed="false">
      <c r="A38" s="1"/>
      <c r="B38" s="12" t="s">
        <v>209</v>
      </c>
      <c r="C38" s="1"/>
    </row>
    <row r="39" customFormat="false" ht="15" hidden="false" customHeight="false" outlineLevel="0" collapsed="false">
      <c r="A39" s="1"/>
      <c r="B39" s="12" t="s">
        <v>210</v>
      </c>
      <c r="C39" s="1"/>
    </row>
    <row r="40" customFormat="false" ht="15" hidden="false" customHeight="false" outlineLevel="0" collapsed="false">
      <c r="A40" s="1"/>
      <c r="B40" s="12" t="s">
        <v>211</v>
      </c>
      <c r="C40" s="1"/>
    </row>
    <row r="41" customFormat="false" ht="15" hidden="false" customHeight="false" outlineLevel="0" collapsed="false">
      <c r="A41" s="1"/>
      <c r="B41" s="12" t="s">
        <v>212</v>
      </c>
      <c r="C41" s="1"/>
    </row>
    <row r="42" customFormat="false" ht="15" hidden="false" customHeight="false" outlineLevel="0" collapsed="false">
      <c r="A42" s="1"/>
      <c r="B42" s="12" t="s">
        <v>213</v>
      </c>
      <c r="C42" s="1"/>
    </row>
    <row r="43" customFormat="false" ht="15" hidden="false" customHeight="false" outlineLevel="0" collapsed="false">
      <c r="A43" s="1"/>
      <c r="B43" s="12" t="s">
        <v>214</v>
      </c>
      <c r="C43" s="1"/>
    </row>
    <row r="44" customFormat="false" ht="15" hidden="false" customHeight="false" outlineLevel="0" collapsed="false">
      <c r="A44" s="1"/>
      <c r="B44" s="12" t="s">
        <v>215</v>
      </c>
      <c r="C44" s="1"/>
    </row>
    <row r="45" customFormat="false" ht="15" hidden="false" customHeight="false" outlineLevel="0" collapsed="false">
      <c r="A45" s="1"/>
      <c r="B45" s="12"/>
      <c r="C45" s="1"/>
    </row>
    <row r="46" customFormat="false" ht="15" hidden="false" customHeight="false" outlineLevel="0" collapsed="false">
      <c r="A46" s="1"/>
      <c r="B46" s="66" t="s">
        <v>216</v>
      </c>
      <c r="C46" s="1"/>
    </row>
    <row r="47" customFormat="false" ht="15" hidden="false" customHeight="false" outlineLevel="0" collapsed="false">
      <c r="A47" s="1"/>
      <c r="B47" s="12" t="s">
        <v>217</v>
      </c>
      <c r="C47" s="1"/>
    </row>
    <row r="48" customFormat="false" ht="15" hidden="false" customHeight="false" outlineLevel="0" collapsed="false">
      <c r="A48" s="1"/>
      <c r="B48" s="12" t="s">
        <v>218</v>
      </c>
      <c r="C48" s="1"/>
    </row>
    <row r="49" customFormat="false" ht="15" hidden="false" customHeight="false" outlineLevel="0" collapsed="false">
      <c r="A49" s="1"/>
      <c r="B49" s="12" t="s">
        <v>219</v>
      </c>
      <c r="C49" s="1"/>
    </row>
    <row r="50" customFormat="false" ht="15" hidden="false" customHeight="false" outlineLevel="0" collapsed="false">
      <c r="A50" s="1"/>
      <c r="B50" s="12" t="s">
        <v>220</v>
      </c>
      <c r="C50" s="1"/>
    </row>
    <row r="51" customFormat="false" ht="15" hidden="false" customHeight="false" outlineLevel="0" collapsed="false">
      <c r="A51" s="1"/>
      <c r="B51" s="12"/>
      <c r="C51" s="1"/>
    </row>
    <row r="52" customFormat="false" ht="15" hidden="false" customHeight="false" outlineLevel="0" collapsed="false">
      <c r="A52" s="1"/>
      <c r="B52" s="66" t="s">
        <v>221</v>
      </c>
      <c r="C52" s="1"/>
    </row>
    <row r="53" customFormat="false" ht="15" hidden="false" customHeight="false" outlineLevel="0" collapsed="false">
      <c r="A53" s="1"/>
      <c r="B53" s="12" t="s">
        <v>222</v>
      </c>
      <c r="C53" s="1"/>
    </row>
    <row r="54" customFormat="false" ht="15" hidden="false" customHeight="false" outlineLevel="0" collapsed="false">
      <c r="A54" s="1"/>
      <c r="B54" s="12" t="s">
        <v>223</v>
      </c>
      <c r="C54" s="1"/>
    </row>
    <row r="55" customFormat="false" ht="15" hidden="false" customHeight="false" outlineLevel="0" collapsed="false">
      <c r="A55" s="1"/>
      <c r="B55" s="12" t="s">
        <v>224</v>
      </c>
      <c r="C55" s="1"/>
    </row>
    <row r="56" customFormat="false" ht="15" hidden="false" customHeight="false" outlineLevel="0" collapsed="false">
      <c r="A56" s="1"/>
      <c r="B56" s="12" t="s">
        <v>225</v>
      </c>
      <c r="C56" s="1"/>
    </row>
    <row r="57" customFormat="false" ht="15" hidden="false" customHeight="false" outlineLevel="0" collapsed="false">
      <c r="A57" s="1"/>
      <c r="B57" s="12" t="s">
        <v>226</v>
      </c>
      <c r="C57" s="1"/>
    </row>
    <row r="58" customFormat="false" ht="15" hidden="false" customHeight="false" outlineLevel="0" collapsed="false">
      <c r="A58" s="1"/>
      <c r="B58" s="12"/>
      <c r="C58" s="1"/>
    </row>
    <row r="59" customFormat="false" ht="15" hidden="false" customHeight="false" outlineLevel="0" collapsed="false">
      <c r="A59" s="1"/>
      <c r="B59" s="66" t="s">
        <v>227</v>
      </c>
      <c r="C59" s="1"/>
    </row>
    <row r="60" customFormat="false" ht="15" hidden="false" customHeight="false" outlineLevel="0" collapsed="false">
      <c r="A60" s="1"/>
      <c r="B60" s="12" t="s">
        <v>228</v>
      </c>
      <c r="C60" s="1"/>
    </row>
    <row r="61" customFormat="false" ht="15" hidden="false" customHeight="false" outlineLevel="0" collapsed="false">
      <c r="A61" s="1"/>
      <c r="B61" s="12" t="s">
        <v>229</v>
      </c>
      <c r="C61" s="1"/>
    </row>
    <row r="62" customFormat="false" ht="15" hidden="false" customHeight="false" outlineLevel="0" collapsed="false">
      <c r="A62" s="1"/>
      <c r="B62" s="12" t="s">
        <v>230</v>
      </c>
      <c r="C62" s="1"/>
    </row>
    <row r="63" customFormat="false" ht="15" hidden="false" customHeight="false" outlineLevel="0" collapsed="false">
      <c r="A63" s="1"/>
      <c r="B63" s="12" t="s">
        <v>231</v>
      </c>
      <c r="C63" s="1"/>
    </row>
    <row r="64" customFormat="false" ht="15" hidden="false" customHeight="false" outlineLevel="0" collapsed="false">
      <c r="A64" s="1"/>
      <c r="B64" s="12" t="s">
        <v>232</v>
      </c>
      <c r="C64" s="1"/>
    </row>
    <row r="65" customFormat="false" ht="15" hidden="false" customHeight="false" outlineLevel="0" collapsed="false">
      <c r="A65" s="1"/>
      <c r="B65" s="12"/>
      <c r="C65" s="1"/>
    </row>
    <row r="66" customFormat="false" ht="15" hidden="false" customHeight="false" outlineLevel="0" collapsed="false">
      <c r="A66" s="1"/>
      <c r="B66" s="66" t="s">
        <v>233</v>
      </c>
      <c r="C66" s="1"/>
    </row>
    <row r="67" customFormat="false" ht="15" hidden="false" customHeight="false" outlineLevel="0" collapsed="false">
      <c r="A67" s="1"/>
      <c r="B67" s="12" t="s">
        <v>234</v>
      </c>
      <c r="C67" s="1"/>
    </row>
    <row r="68" customFormat="false" ht="15" hidden="false" customHeight="false" outlineLevel="0" collapsed="false">
      <c r="A68" s="1"/>
      <c r="B68" s="12" t="s">
        <v>235</v>
      </c>
      <c r="C68" s="1"/>
    </row>
    <row r="69" customFormat="false" ht="15" hidden="false" customHeight="false" outlineLevel="0" collapsed="false">
      <c r="A69" s="1"/>
      <c r="B69" s="1"/>
      <c r="C6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2026-02-26T12:11:08Z</dcterms:created>
  <dc:creator>openpyxl</dc:creator>
  <dc:description/>
  <dc:language>en-US</dc:language>
  <cp:lastModifiedBy/>
  <dcterms:modified xsi:type="dcterms:W3CDTF">2026-02-26T12:11:08Z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